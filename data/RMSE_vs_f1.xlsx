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boras-my.sharepoint.com/personal/fereshta_westin_hb_se/Documents/_Fereshtas doktorandstudier/Artikel 3_Language models/CC_sharing_data/"/>
    </mc:Choice>
  </mc:AlternateContent>
  <xr:revisionPtr revIDLastSave="127" documentId="11_AD4D7A0C205A6B9A452FA8E8F7D2F968683EDF1D" xr6:coauthVersionLast="47" xr6:coauthVersionMax="47" xr10:uidLastSave="{777F604C-AF31-4601-BF3F-6EDE443B460D}"/>
  <bookViews>
    <workbookView xWindow="-108" yWindow="-108" windowWidth="23256" windowHeight="12456" activeTab="1" xr2:uid="{00000000-000D-0000-FFFF-FFFF00000000}"/>
  </bookViews>
  <sheets>
    <sheet name="Blad5" sheetId="3" r:id="rId1"/>
    <sheet name="Blad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" l="1"/>
  <c r="R8" i="4" s="1"/>
  <c r="Q7" i="4"/>
  <c r="R7" i="4" s="1"/>
  <c r="Q6" i="4"/>
  <c r="R6" i="4" s="1"/>
  <c r="Q5" i="4"/>
  <c r="R5" i="4" s="1"/>
  <c r="V7" i="4" l="1"/>
  <c r="V15" i="4" s="1"/>
  <c r="U7" i="4"/>
  <c r="U15" i="4" s="1"/>
  <c r="T7" i="4"/>
  <c r="T15" i="4" s="1"/>
  <c r="U5" i="4"/>
  <c r="U13" i="4" s="1"/>
  <c r="S5" i="4"/>
  <c r="S13" i="4" s="1"/>
  <c r="V5" i="4"/>
  <c r="V13" i="4" s="1"/>
  <c r="T5" i="4"/>
  <c r="T13" i="4" s="1"/>
  <c r="S7" i="4"/>
  <c r="S15" i="4" s="1"/>
  <c r="V6" i="4"/>
  <c r="V14" i="4" s="1"/>
  <c r="U6" i="4"/>
  <c r="U14" i="4" s="1"/>
  <c r="T6" i="4"/>
  <c r="T14" i="4" s="1"/>
  <c r="S6" i="4"/>
  <c r="S14" i="4" s="1"/>
  <c r="V8" i="4"/>
  <c r="V16" i="4" s="1"/>
  <c r="U8" i="4"/>
  <c r="U16" i="4" s="1"/>
  <c r="S8" i="4"/>
  <c r="S16" i="4" s="1"/>
  <c r="T8" i="4"/>
  <c r="T16" i="4" s="1"/>
</calcChain>
</file>

<file path=xl/sharedStrings.xml><?xml version="1.0" encoding="utf-8"?>
<sst xmlns="http://schemas.openxmlformats.org/spreadsheetml/2006/main" count="128" uniqueCount="66">
  <si>
    <t>RMSE_Llama_novel</t>
  </si>
  <si>
    <t>Llama_F1</t>
  </si>
  <si>
    <t>RMSE_Gpt_novel</t>
  </si>
  <si>
    <t>Gpt_F1</t>
  </si>
  <si>
    <t>RMSE_Mistral_novel</t>
  </si>
  <si>
    <t>Mistral_F1</t>
  </si>
  <si>
    <t>RMSE_Claude_novel</t>
  </si>
  <si>
    <t>Claude_F1</t>
  </si>
  <si>
    <t>Model</t>
  </si>
  <si>
    <t>Claude</t>
  </si>
  <si>
    <t>Mistral</t>
  </si>
  <si>
    <t>CharGPT</t>
  </si>
  <si>
    <t>Llama</t>
  </si>
  <si>
    <t>Max RMSE</t>
  </si>
  <si>
    <t>RMSE threshold</t>
  </si>
  <si>
    <t>Region 1: Low F1 + Low RMSE</t>
  </si>
  <si>
    <t>Region 2: Low F1 + High RMSE</t>
  </si>
  <si>
    <t>Region 3: High F1 + High RMSE</t>
  </si>
  <si>
    <t>Region 4: High F1 + Low RMSE</t>
  </si>
  <si>
    <t>Title</t>
  </si>
  <si>
    <t>LB_AnderssonD_DeTreHemlosa_1918_etext.txt</t>
  </si>
  <si>
    <t>LB_AnderssonD_Kolarhistorier_1914_etext.txt</t>
  </si>
  <si>
    <t>LB_NordstromL_Borgare_1909_etext.txt</t>
  </si>
  <si>
    <t>LB_SoderbergH_DenAllvarsamma_1912_etext.txt</t>
  </si>
  <si>
    <t>LB_SoderbergH_DoktorGlas_1905_etext.txt</t>
  </si>
  <si>
    <t>LB_OstmanK_DeDodaSagverken_2012_faksimil.txt</t>
  </si>
  <si>
    <t>LB_BoyeK_Kris_1934_etext.txt</t>
  </si>
  <si>
    <t>LB_SandelM_DropparIFolkhavet_1924_etext.txt</t>
  </si>
  <si>
    <t>LB_WagnerE_Pennskaftet1910_1910_etext.txt</t>
  </si>
  <si>
    <t>LB_HanssonO_TidensKvinnor_1914_etext.txt</t>
  </si>
  <si>
    <t>LB_SoderbergH_Forvillelser_1895_etext.txt</t>
  </si>
  <si>
    <t>LB_BenedictssonV_FranSkane_1884_etext.txt</t>
  </si>
  <si>
    <t>LB_SoderbergH_MartinBircks_1901_etext.txt</t>
  </si>
  <si>
    <t>LB_LagerlofS_EttBarnsMemoarer_1930_etext.txt</t>
  </si>
  <si>
    <t>LB_AlmqvistCJL_TornrosensBok7_1835_faksimil.txt</t>
  </si>
  <si>
    <t>LB_AngeredStrandbergH_LydiaVik_1904_etext.txt</t>
  </si>
  <si>
    <t>LB_BjurstenH_TvaFlammor_1860_faksimil.txt</t>
  </si>
  <si>
    <t>LB_CederborghF_OttarTralling1_1810_faksimil.txt</t>
  </si>
  <si>
    <t>LB_HanssonO_FruEsterBruce_1900_faksimil.txt</t>
  </si>
  <si>
    <t>LB_KullbergKA_MinnenFranEnVistelse_1847_faksimil.txt</t>
  </si>
  <si>
    <t>LB_LagerlofS_KejsarnAvPortugallien_1914_etext.txt</t>
  </si>
  <si>
    <t>LB_LagerlofS_LiljecronasHem_1911_etext.txt</t>
  </si>
  <si>
    <t>LB_MallingM_BertaFuncke_1885_etext.txt</t>
  </si>
  <si>
    <t>LB_StrindbergA_DetNyaRiket1882_1882_faksimil.txt</t>
  </si>
  <si>
    <t>LB_StrindbergA_Giftas1884_1884_faksimil.txt</t>
  </si>
  <si>
    <t>LB_StrindbergA_Hemsoborna1887_1887_faksimil.txt</t>
  </si>
  <si>
    <t>LB_AhnfeltA_BellmanskaSallskapet_1877_faksimil.txt</t>
  </si>
  <si>
    <t>LB_AhrenbergJ_Hihuliter_1889_faksimil.txt</t>
  </si>
  <si>
    <t>LB_Anonym_Blomsterflickorna_1897_faksimil.txt</t>
  </si>
  <si>
    <t>LB_Anonym_Den30November1868_1882_faksimil.txt</t>
  </si>
  <si>
    <t>LB_Anonym_GubbarnePaPressyltan_1893_faksimil.txt</t>
  </si>
  <si>
    <t>LB_Anonym_MosterVivica_1872_faksimil.txt</t>
  </si>
  <si>
    <t>LB_Anonym_SmaflickornasLekar_1895_faksimil.txt</t>
  </si>
  <si>
    <t>LB_BorkI_ValeteTheatren_1874_faksimil.txt</t>
  </si>
  <si>
    <t>LB_ChytraeusB_KusinCallesAfventyrVidLandtbruksmotet_1868_faksimil.txt</t>
  </si>
  <si>
    <t>LB_EngstromA_Drufklasar_1898_faksimil.txt</t>
  </si>
  <si>
    <t>LB_HedbergF_MellanBjudningarna_1884_faksimil.txt</t>
  </si>
  <si>
    <t>LB_JohanssonAMCJ_DenUndreVarlden_1907_faksimil.txt</t>
  </si>
  <si>
    <t>LB_LagerlofS_LowenskoldskaR_1925_etext.txt</t>
  </si>
  <si>
    <t>LB_LindholmPA_Lappfolk_1908_faksimil.txt</t>
  </si>
  <si>
    <t>LB_LindholmPA_PrinsenAfLappland_1891_faksimil.txt</t>
  </si>
  <si>
    <t>LB_MellinGH_EttForsok1_1855_faksimil.txt</t>
  </si>
  <si>
    <t>LB_MellinGH_Skildringar2_1857_faksimil.txt</t>
  </si>
  <si>
    <t>LB_RosendahlCG_Ainamo_1866_faksimil.txt</t>
  </si>
  <si>
    <t>LB_WijkanderO_Prolog_1888_faksimil.txt</t>
  </si>
  <si>
    <t>ChatGPT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</si>
</sst>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9" fontId="0" fillId="0" borderId="0" xfId="1" applyFont="1"/>
    <xf numFmtId="164" fontId="0" fillId="0" borderId="0" xfId="0" applyNumberFormat="1"/>
    <xf numFmtId="9" fontId="0" fillId="0" borderId="2" xfId="1" applyFont="1" applyBorder="1"/>
    <xf numFmtId="9" fontId="0" fillId="0" borderId="4" xfId="1" applyFont="1" applyBorder="1"/>
    <xf numFmtId="9" fontId="0" fillId="0" borderId="5" xfId="1" applyFont="1" applyBorder="1"/>
    <xf numFmtId="0" fontId="4" fillId="0" borderId="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7" xfId="0" applyFont="1" applyBorder="1"/>
    <xf numFmtId="0" fontId="4" fillId="0" borderId="8" xfId="0" applyFont="1" applyBorder="1"/>
    <xf numFmtId="0" fontId="6" fillId="0" borderId="1" xfId="0" applyFont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Blad5!$C$1</c:f>
              <c:strCache>
                <c:ptCount val="1"/>
                <c:pt idx="0">
                  <c:v>RMSE_Claude_novel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Blad5!$B$2:$B$46</c:f>
              <c:numCache>
                <c:formatCode>General</c:formatCode>
                <c:ptCount val="45"/>
                <c:pt idx="0">
                  <c:v>0.80769230769230771</c:v>
                </c:pt>
                <c:pt idx="1">
                  <c:v>0</c:v>
                </c:pt>
                <c:pt idx="2">
                  <c:v>0.80769230769230771</c:v>
                </c:pt>
                <c:pt idx="3">
                  <c:v>0.7567567567567568</c:v>
                </c:pt>
                <c:pt idx="4">
                  <c:v>9.0909090909090912E-2</c:v>
                </c:pt>
                <c:pt idx="5">
                  <c:v>2.8169014084507039E-2</c:v>
                </c:pt>
                <c:pt idx="6">
                  <c:v>0.33333333333333331</c:v>
                </c:pt>
                <c:pt idx="7">
                  <c:v>6.4516129032258063E-2</c:v>
                </c:pt>
                <c:pt idx="8">
                  <c:v>5.8252427184466021E-2</c:v>
                </c:pt>
                <c:pt idx="9">
                  <c:v>9.5238095238095233E-2</c:v>
                </c:pt>
                <c:pt idx="10">
                  <c:v>0.33333333333333331</c:v>
                </c:pt>
                <c:pt idx="11">
                  <c:v>0.95238095238095233</c:v>
                </c:pt>
                <c:pt idx="12">
                  <c:v>0.31818181818181818</c:v>
                </c:pt>
                <c:pt idx="13">
                  <c:v>0.26839826839826841</c:v>
                </c:pt>
                <c:pt idx="14">
                  <c:v>3.9215686274509803E-2</c:v>
                </c:pt>
                <c:pt idx="15">
                  <c:v>0.25862068965517238</c:v>
                </c:pt>
                <c:pt idx="16">
                  <c:v>1.9801980198019799E-2</c:v>
                </c:pt>
                <c:pt idx="17">
                  <c:v>0.1981981981981982</c:v>
                </c:pt>
                <c:pt idx="18">
                  <c:v>0</c:v>
                </c:pt>
                <c:pt idx="19">
                  <c:v>3.9215686274509803E-2</c:v>
                </c:pt>
                <c:pt idx="20">
                  <c:v>0.27586206896551718</c:v>
                </c:pt>
                <c:pt idx="21">
                  <c:v>0.47328244274809161</c:v>
                </c:pt>
                <c:pt idx="22">
                  <c:v>0.36065573770491799</c:v>
                </c:pt>
                <c:pt idx="23">
                  <c:v>0.38709677419354838</c:v>
                </c:pt>
                <c:pt idx="24">
                  <c:v>0.1981981981981982</c:v>
                </c:pt>
                <c:pt idx="25">
                  <c:v>0.1981981981981982</c:v>
                </c:pt>
                <c:pt idx="26">
                  <c:v>0</c:v>
                </c:pt>
                <c:pt idx="27">
                  <c:v>0.34710743801652888</c:v>
                </c:pt>
                <c:pt idx="28">
                  <c:v>0.30508474576271188</c:v>
                </c:pt>
                <c:pt idx="29">
                  <c:v>1.9801980198019799E-2</c:v>
                </c:pt>
                <c:pt idx="30">
                  <c:v>0.24561403508771931</c:v>
                </c:pt>
                <c:pt idx="31">
                  <c:v>0</c:v>
                </c:pt>
                <c:pt idx="32">
                  <c:v>0.33057851239669422</c:v>
                </c:pt>
                <c:pt idx="33">
                  <c:v>0.13084112149532709</c:v>
                </c:pt>
                <c:pt idx="34">
                  <c:v>7.6923076923076927E-2</c:v>
                </c:pt>
                <c:pt idx="35">
                  <c:v>0.30534351145038169</c:v>
                </c:pt>
                <c:pt idx="36">
                  <c:v>0.1132075471698113</c:v>
                </c:pt>
                <c:pt idx="37">
                  <c:v>0.86486486486486491</c:v>
                </c:pt>
                <c:pt idx="38">
                  <c:v>0.64864864864864868</c:v>
                </c:pt>
                <c:pt idx="39">
                  <c:v>5.8252427184466021E-2</c:v>
                </c:pt>
                <c:pt idx="40">
                  <c:v>0.10344827586206901</c:v>
                </c:pt>
                <c:pt idx="41">
                  <c:v>0.1132075471698113</c:v>
                </c:pt>
                <c:pt idx="42">
                  <c:v>0.2142857142857143</c:v>
                </c:pt>
                <c:pt idx="43">
                  <c:v>0</c:v>
                </c:pt>
                <c:pt idx="44">
                  <c:v>0</c:v>
                </c:pt>
              </c:numCache>
            </c:numRef>
          </c:xVal>
          <c:yVal>
            <c:numRef>
              <c:f>Blad5!$C$2:$C$46</c:f>
              <c:numCache>
                <c:formatCode>General</c:formatCode>
                <c:ptCount val="45"/>
                <c:pt idx="0">
                  <c:v>5.8309518948453007</c:v>
                </c:pt>
                <c:pt idx="1">
                  <c:v>16.507574019219181</c:v>
                </c:pt>
                <c:pt idx="2">
                  <c:v>7.0710678118654764</c:v>
                </c:pt>
                <c:pt idx="3">
                  <c:v>5.1478150704935004</c:v>
                </c:pt>
                <c:pt idx="4">
                  <c:v>11.180339887498951</c:v>
                </c:pt>
                <c:pt idx="5">
                  <c:v>42.901048938225273</c:v>
                </c:pt>
                <c:pt idx="6">
                  <c:v>4</c:v>
                </c:pt>
                <c:pt idx="7">
                  <c:v>15.50806241927082</c:v>
                </c:pt>
                <c:pt idx="8">
                  <c:v>61.923339703216911</c:v>
                </c:pt>
                <c:pt idx="9">
                  <c:v>9.5131487952202232</c:v>
                </c:pt>
                <c:pt idx="10">
                  <c:v>4.1231056256176606</c:v>
                </c:pt>
                <c:pt idx="11">
                  <c:v>0.70710678118654757</c:v>
                </c:pt>
                <c:pt idx="12">
                  <c:v>57.008771254956898</c:v>
                </c:pt>
                <c:pt idx="13">
                  <c:v>95.501308891553947</c:v>
                </c:pt>
                <c:pt idx="14">
                  <c:v>50.960769224963627</c:v>
                </c:pt>
                <c:pt idx="15">
                  <c:v>60.108235708594883</c:v>
                </c:pt>
                <c:pt idx="16">
                  <c:v>50.601383380298998</c:v>
                </c:pt>
                <c:pt idx="17">
                  <c:v>62.932503525602733</c:v>
                </c:pt>
                <c:pt idx="18">
                  <c:v>70.71421356417676</c:v>
                </c:pt>
                <c:pt idx="19">
                  <c:v>49.254441424099006</c:v>
                </c:pt>
                <c:pt idx="20">
                  <c:v>44.944410108488462</c:v>
                </c:pt>
                <c:pt idx="21">
                  <c:v>48.790367901871782</c:v>
                </c:pt>
                <c:pt idx="22">
                  <c:v>46.324939287601879</c:v>
                </c:pt>
                <c:pt idx="23">
                  <c:v>43.416586692184822</c:v>
                </c:pt>
                <c:pt idx="24">
                  <c:v>56.925389765903233</c:v>
                </c:pt>
                <c:pt idx="25">
                  <c:v>56.925389765903233</c:v>
                </c:pt>
                <c:pt idx="26">
                  <c:v>44.32268042436062</c:v>
                </c:pt>
                <c:pt idx="27">
                  <c:v>40.871750635371612</c:v>
                </c:pt>
                <c:pt idx="28">
                  <c:v>56.586217403180427</c:v>
                </c:pt>
                <c:pt idx="29">
                  <c:v>52.8441103624614</c:v>
                </c:pt>
                <c:pt idx="30">
                  <c:v>56.727418414731339</c:v>
                </c:pt>
                <c:pt idx="31">
                  <c:v>107.05372483010581</c:v>
                </c:pt>
                <c:pt idx="32">
                  <c:v>56.572961739686207</c:v>
                </c:pt>
                <c:pt idx="33">
                  <c:v>62.325757115337147</c:v>
                </c:pt>
                <c:pt idx="34">
                  <c:v>50.921508225896062</c:v>
                </c:pt>
                <c:pt idx="35">
                  <c:v>57.10078808562978</c:v>
                </c:pt>
                <c:pt idx="36">
                  <c:v>57.428216061444921</c:v>
                </c:pt>
                <c:pt idx="37">
                  <c:v>3.5355339059327382</c:v>
                </c:pt>
                <c:pt idx="38">
                  <c:v>30.016662039607269</c:v>
                </c:pt>
                <c:pt idx="39">
                  <c:v>50.084927872564613</c:v>
                </c:pt>
                <c:pt idx="40">
                  <c:v>66.843099868273612</c:v>
                </c:pt>
                <c:pt idx="41">
                  <c:v>47.095647357266458</c:v>
                </c:pt>
                <c:pt idx="42">
                  <c:v>46.486557196677843</c:v>
                </c:pt>
                <c:pt idx="43">
                  <c:v>0</c:v>
                </c:pt>
                <c:pt idx="44">
                  <c:v>83.429611050273991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9F-42A4-862B-C4EDC5809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887520"/>
        <c:axId val="858904320"/>
      </c:scatterChart>
      <c:valAx>
        <c:axId val="85888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Blad5!$G$1</c:f>
              <c:strCache>
                <c:ptCount val="1"/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58904320"/>
        <c:crosses val="autoZero"/>
        <c:crossBetween val="midCat"/>
      </c:valAx>
      <c:valAx>
        <c:axId val="85890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5888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ChatGPT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Blad5!$I$1</c:f>
              <c:strCache>
                <c:ptCount val="1"/>
                <c:pt idx="0">
                  <c:v>RMSE_Gpt_novel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Blad5!$H$2:$H$46</c:f>
              <c:numCache>
                <c:formatCode>General</c:formatCode>
                <c:ptCount val="45"/>
                <c:pt idx="0">
                  <c:v>6.25E-2</c:v>
                </c:pt>
                <c:pt idx="1">
                  <c:v>0.54545454545454541</c:v>
                </c:pt>
                <c:pt idx="2">
                  <c:v>0.51219512195121952</c:v>
                </c:pt>
                <c:pt idx="3">
                  <c:v>0.71794871794871795</c:v>
                </c:pt>
                <c:pt idx="4">
                  <c:v>0.17391304347826089</c:v>
                </c:pt>
                <c:pt idx="5">
                  <c:v>0.15789473684210531</c:v>
                </c:pt>
                <c:pt idx="6">
                  <c:v>0</c:v>
                </c:pt>
                <c:pt idx="7">
                  <c:v>0.66666666666666663</c:v>
                </c:pt>
                <c:pt idx="8">
                  <c:v>0.1981981981981982</c:v>
                </c:pt>
                <c:pt idx="9">
                  <c:v>0.25974025974025972</c:v>
                </c:pt>
                <c:pt idx="10">
                  <c:v>0.95238095238095233</c:v>
                </c:pt>
                <c:pt idx="11">
                  <c:v>0.36734693877551022</c:v>
                </c:pt>
                <c:pt idx="12">
                  <c:v>0.53947368421052633</c:v>
                </c:pt>
                <c:pt idx="13">
                  <c:v>0.58657243816254412</c:v>
                </c:pt>
                <c:pt idx="14">
                  <c:v>0.77011494252873558</c:v>
                </c:pt>
                <c:pt idx="15">
                  <c:v>0.52023121387283233</c:v>
                </c:pt>
                <c:pt idx="16">
                  <c:v>0.13084112149532709</c:v>
                </c:pt>
                <c:pt idx="17">
                  <c:v>0.2978723404255319</c:v>
                </c:pt>
                <c:pt idx="18">
                  <c:v>0</c:v>
                </c:pt>
                <c:pt idx="19">
                  <c:v>3.9215686274509803E-2</c:v>
                </c:pt>
                <c:pt idx="20">
                  <c:v>0.66225165562913912</c:v>
                </c:pt>
                <c:pt idx="21">
                  <c:v>0.82987551867219922</c:v>
                </c:pt>
                <c:pt idx="22">
                  <c:v>0.2479338842975207</c:v>
                </c:pt>
                <c:pt idx="23">
                  <c:v>0.85057471264367812</c:v>
                </c:pt>
                <c:pt idx="24">
                  <c:v>0.24806201550387599</c:v>
                </c:pt>
                <c:pt idx="25">
                  <c:v>0.22807017543859651</c:v>
                </c:pt>
                <c:pt idx="26">
                  <c:v>0</c:v>
                </c:pt>
                <c:pt idx="27">
                  <c:v>0.58156028368794321</c:v>
                </c:pt>
                <c:pt idx="28">
                  <c:v>0.33057851239669422</c:v>
                </c:pt>
                <c:pt idx="29">
                  <c:v>1.9801980198019799E-2</c:v>
                </c:pt>
                <c:pt idx="30">
                  <c:v>0.1238938053097345</c:v>
                </c:pt>
                <c:pt idx="31">
                  <c:v>0.41059602649006621</c:v>
                </c:pt>
                <c:pt idx="32">
                  <c:v>0.1801801801801802</c:v>
                </c:pt>
                <c:pt idx="33">
                  <c:v>0.2105263157894737</c:v>
                </c:pt>
                <c:pt idx="34">
                  <c:v>5.8252427184466021E-2</c:v>
                </c:pt>
                <c:pt idx="35">
                  <c:v>0.36046511627906969</c:v>
                </c:pt>
                <c:pt idx="36">
                  <c:v>1.9801980198019799E-2</c:v>
                </c:pt>
                <c:pt idx="37">
                  <c:v>0.66666666666666663</c:v>
                </c:pt>
                <c:pt idx="38">
                  <c:v>0.64864864864864868</c:v>
                </c:pt>
                <c:pt idx="39">
                  <c:v>0.32635983263598328</c:v>
                </c:pt>
                <c:pt idx="40">
                  <c:v>0.1081081081081081</c:v>
                </c:pt>
                <c:pt idx="41">
                  <c:v>0.85057471264367812</c:v>
                </c:pt>
                <c:pt idx="42">
                  <c:v>0.44961240310077522</c:v>
                </c:pt>
                <c:pt idx="43">
                  <c:v>0</c:v>
                </c:pt>
                <c:pt idx="44">
                  <c:v>0.717741935483871</c:v>
                </c:pt>
              </c:numCache>
            </c:numRef>
          </c:xVal>
          <c:yVal>
            <c:numRef>
              <c:f>Blad5!$I$2:$I$46</c:f>
              <c:numCache>
                <c:formatCode>General</c:formatCode>
                <c:ptCount val="45"/>
                <c:pt idx="0">
                  <c:v>15.8113883008419</c:v>
                </c:pt>
                <c:pt idx="1">
                  <c:v>19.039432764659772</c:v>
                </c:pt>
                <c:pt idx="2">
                  <c:v>23.323807579381199</c:v>
                </c:pt>
                <c:pt idx="3">
                  <c:v>5.7008771254956896</c:v>
                </c:pt>
                <c:pt idx="4">
                  <c:v>10.977249200050069</c:v>
                </c:pt>
                <c:pt idx="5">
                  <c:v>42.5205832509386</c:v>
                </c:pt>
                <c:pt idx="6">
                  <c:v>13.0384048104053</c:v>
                </c:pt>
                <c:pt idx="7">
                  <c:v>3.5355339059327382</c:v>
                </c:pt>
                <c:pt idx="8">
                  <c:v>56.307193146169169</c:v>
                </c:pt>
                <c:pt idx="9">
                  <c:v>31.53569406244296</c:v>
                </c:pt>
                <c:pt idx="10">
                  <c:v>0.70710678118654757</c:v>
                </c:pt>
                <c:pt idx="11">
                  <c:v>21.22498527679112</c:v>
                </c:pt>
                <c:pt idx="12">
                  <c:v>43.011626335213137</c:v>
                </c:pt>
                <c:pt idx="13">
                  <c:v>58.502136713115007</c:v>
                </c:pt>
                <c:pt idx="14">
                  <c:v>23.85372088375313</c:v>
                </c:pt>
                <c:pt idx="15">
                  <c:v>43.640577448058593</c:v>
                </c:pt>
                <c:pt idx="16">
                  <c:v>48.42003717470692</c:v>
                </c:pt>
                <c:pt idx="17">
                  <c:v>57.623779813545717</c:v>
                </c:pt>
                <c:pt idx="18">
                  <c:v>70.71421356417676</c:v>
                </c:pt>
                <c:pt idx="19">
                  <c:v>49.254441424099006</c:v>
                </c:pt>
                <c:pt idx="20">
                  <c:v>35.362409420173847</c:v>
                </c:pt>
                <c:pt idx="21">
                  <c:v>28.991378028648452</c:v>
                </c:pt>
                <c:pt idx="22">
                  <c:v>60.25363059600641</c:v>
                </c:pt>
                <c:pt idx="23">
                  <c:v>13.60147050873544</c:v>
                </c:pt>
                <c:pt idx="24">
                  <c:v>60.104076400856542</c:v>
                </c:pt>
                <c:pt idx="25">
                  <c:v>61.522353661088097</c:v>
                </c:pt>
                <c:pt idx="26">
                  <c:v>60.530983801686233</c:v>
                </c:pt>
                <c:pt idx="27">
                  <c:v>35.923529893372113</c:v>
                </c:pt>
                <c:pt idx="28">
                  <c:v>56.572961739686207</c:v>
                </c:pt>
                <c:pt idx="29">
                  <c:v>52.8441103624614</c:v>
                </c:pt>
                <c:pt idx="30">
                  <c:v>65.897647909466386</c:v>
                </c:pt>
                <c:pt idx="31">
                  <c:v>50.798622028555073</c:v>
                </c:pt>
                <c:pt idx="32">
                  <c:v>63.643538556557331</c:v>
                </c:pt>
                <c:pt idx="33">
                  <c:v>62.241465278381739</c:v>
                </c:pt>
                <c:pt idx="34">
                  <c:v>52.273320154740503</c:v>
                </c:pt>
                <c:pt idx="35">
                  <c:v>56.753854494650852</c:v>
                </c:pt>
                <c:pt idx="36">
                  <c:v>60.336556083356299</c:v>
                </c:pt>
                <c:pt idx="37">
                  <c:v>9.6176920308356717</c:v>
                </c:pt>
                <c:pt idx="38">
                  <c:v>30.016662039607269</c:v>
                </c:pt>
                <c:pt idx="39">
                  <c:v>82.828135316449078</c:v>
                </c:pt>
                <c:pt idx="40">
                  <c:v>66.562001171839782</c:v>
                </c:pt>
                <c:pt idx="41">
                  <c:v>16.40121946685673</c:v>
                </c:pt>
                <c:pt idx="42">
                  <c:v>36.090164865237178</c:v>
                </c:pt>
                <c:pt idx="43">
                  <c:v>0</c:v>
                </c:pt>
                <c:pt idx="44">
                  <c:v>42.43819034784589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4-494F-860E-D4ADEA175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269600"/>
        <c:axId val="486268160"/>
      </c:scatterChart>
      <c:valAx>
        <c:axId val="48626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Blad5!$G$1</c:f>
              <c:strCache>
                <c:ptCount val="1"/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86268160"/>
        <c:crosses val="autoZero"/>
        <c:crossBetween val="midCat"/>
      </c:valAx>
      <c:valAx>
        <c:axId val="48626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8626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Llamal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Blad5!$L$1</c:f>
              <c:strCache>
                <c:ptCount val="1"/>
                <c:pt idx="0">
                  <c:v>RMSE_Llama_novel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Blad5!$K$2:$K$46</c:f>
              <c:numCache>
                <c:formatCode>General</c:formatCode>
                <c:ptCount val="45"/>
                <c:pt idx="0">
                  <c:v>0.30555555555555558</c:v>
                </c:pt>
                <c:pt idx="1">
                  <c:v>0.51219512195121952</c:v>
                </c:pt>
                <c:pt idx="2">
                  <c:v>0.30555555555555558</c:v>
                </c:pt>
                <c:pt idx="3">
                  <c:v>5.4054054054054057E-2</c:v>
                </c:pt>
                <c:pt idx="4">
                  <c:v>4.7619047619047623E-2</c:v>
                </c:pt>
                <c:pt idx="5">
                  <c:v>0.15789473684210531</c:v>
                </c:pt>
                <c:pt idx="6">
                  <c:v>0</c:v>
                </c:pt>
                <c:pt idx="7">
                  <c:v>0.76923076923076927</c:v>
                </c:pt>
                <c:pt idx="8">
                  <c:v>0.1679389312977099</c:v>
                </c:pt>
                <c:pt idx="9">
                  <c:v>0.16666666666666671</c:v>
                </c:pt>
                <c:pt idx="10">
                  <c:v>0.32786885245901642</c:v>
                </c:pt>
                <c:pt idx="11">
                  <c:v>0.32786885245901642</c:v>
                </c:pt>
                <c:pt idx="12">
                  <c:v>0.62962962962962965</c:v>
                </c:pt>
                <c:pt idx="13">
                  <c:v>0.2608695652173913</c:v>
                </c:pt>
                <c:pt idx="14">
                  <c:v>0.47328244274809161</c:v>
                </c:pt>
                <c:pt idx="15">
                  <c:v>0.15267175572519079</c:v>
                </c:pt>
                <c:pt idx="16">
                  <c:v>0.66225165562913912</c:v>
                </c:pt>
                <c:pt idx="17">
                  <c:v>0.1132075471698113</c:v>
                </c:pt>
                <c:pt idx="18">
                  <c:v>0.44117647058823528</c:v>
                </c:pt>
                <c:pt idx="19">
                  <c:v>0.75776397515527949</c:v>
                </c:pt>
                <c:pt idx="20">
                  <c:v>0.52941176470588236</c:v>
                </c:pt>
                <c:pt idx="21">
                  <c:v>0.66225165562913912</c:v>
                </c:pt>
                <c:pt idx="22">
                  <c:v>0.66225165562913912</c:v>
                </c:pt>
                <c:pt idx="23">
                  <c:v>0.13084112149532709</c:v>
                </c:pt>
                <c:pt idx="24">
                  <c:v>0.3968253968253968</c:v>
                </c:pt>
                <c:pt idx="25">
                  <c:v>0.34710743801652888</c:v>
                </c:pt>
                <c:pt idx="26">
                  <c:v>0</c:v>
                </c:pt>
                <c:pt idx="27">
                  <c:v>0.67549668874172186</c:v>
                </c:pt>
                <c:pt idx="28">
                  <c:v>0.27586206896551718</c:v>
                </c:pt>
                <c:pt idx="29">
                  <c:v>0.27586206896551718</c:v>
                </c:pt>
                <c:pt idx="30">
                  <c:v>0.1981981981981982</c:v>
                </c:pt>
                <c:pt idx="31">
                  <c:v>0.99502487562189057</c:v>
                </c:pt>
                <c:pt idx="32">
                  <c:v>0.58156028368794321</c:v>
                </c:pt>
                <c:pt idx="33">
                  <c:v>0.30508474576271188</c:v>
                </c:pt>
                <c:pt idx="34">
                  <c:v>0.47328244274809161</c:v>
                </c:pt>
                <c:pt idx="35">
                  <c:v>0</c:v>
                </c:pt>
                <c:pt idx="36">
                  <c:v>0.44117647058823528</c:v>
                </c:pt>
                <c:pt idx="37">
                  <c:v>0.5</c:v>
                </c:pt>
                <c:pt idx="38">
                  <c:v>0</c:v>
                </c:pt>
                <c:pt idx="39">
                  <c:v>0.1132075471698113</c:v>
                </c:pt>
                <c:pt idx="40">
                  <c:v>0</c:v>
                </c:pt>
                <c:pt idx="41">
                  <c:v>0.47328244274809161</c:v>
                </c:pt>
                <c:pt idx="42">
                  <c:v>0.32061068702290069</c:v>
                </c:pt>
                <c:pt idx="43">
                  <c:v>3.9215686274509803E-2</c:v>
                </c:pt>
                <c:pt idx="44">
                  <c:v>0</c:v>
                </c:pt>
              </c:numCache>
            </c:numRef>
          </c:xVal>
          <c:yVal>
            <c:numRef>
              <c:f>Blad5!$L$2:$L$46</c:f>
              <c:numCache>
                <c:formatCode>General</c:formatCode>
                <c:ptCount val="45"/>
                <c:pt idx="0">
                  <c:v>29.154759474226498</c:v>
                </c:pt>
                <c:pt idx="1">
                  <c:v>28.284271247461898</c:v>
                </c:pt>
                <c:pt idx="2">
                  <c:v>29.154759474226498</c:v>
                </c:pt>
                <c:pt idx="3">
                  <c:v>17.677669529663689</c:v>
                </c:pt>
                <c:pt idx="4">
                  <c:v>20</c:v>
                </c:pt>
                <c:pt idx="5">
                  <c:v>42.5205832509386</c:v>
                </c:pt>
                <c:pt idx="6">
                  <c:v>19.697715603592211</c:v>
                </c:pt>
                <c:pt idx="7">
                  <c:v>4.2426406871192848</c:v>
                </c:pt>
                <c:pt idx="8">
                  <c:v>64.501937955382388</c:v>
                </c:pt>
                <c:pt idx="9">
                  <c:v>6.4031242374328494</c:v>
                </c:pt>
                <c:pt idx="10">
                  <c:v>28.293108701590221</c:v>
                </c:pt>
                <c:pt idx="11">
                  <c:v>22.59424705539001</c:v>
                </c:pt>
                <c:pt idx="12">
                  <c:v>42.426406871192853</c:v>
                </c:pt>
                <c:pt idx="13">
                  <c:v>86.313382508160345</c:v>
                </c:pt>
                <c:pt idx="14">
                  <c:v>37.423254802328458</c:v>
                </c:pt>
                <c:pt idx="15">
                  <c:v>65.349062732375899</c:v>
                </c:pt>
                <c:pt idx="16">
                  <c:v>35.362409420173847</c:v>
                </c:pt>
                <c:pt idx="17">
                  <c:v>56.859475903318</c:v>
                </c:pt>
                <c:pt idx="18">
                  <c:v>49.678969393496892</c:v>
                </c:pt>
                <c:pt idx="19">
                  <c:v>21.691011963483859</c:v>
                </c:pt>
                <c:pt idx="20">
                  <c:v>36.715119501371639</c:v>
                </c:pt>
                <c:pt idx="21">
                  <c:v>35.362409420173847</c:v>
                </c:pt>
                <c:pt idx="22">
                  <c:v>35.362409420173847</c:v>
                </c:pt>
                <c:pt idx="23">
                  <c:v>54.538976888093529</c:v>
                </c:pt>
                <c:pt idx="24">
                  <c:v>53.037722424704477</c:v>
                </c:pt>
                <c:pt idx="25">
                  <c:v>49.904909578116659</c:v>
                </c:pt>
                <c:pt idx="26">
                  <c:v>28.63564212655271</c:v>
                </c:pt>
                <c:pt idx="27">
                  <c:v>34.648232278140831</c:v>
                </c:pt>
                <c:pt idx="28">
                  <c:v>50.47771785649585</c:v>
                </c:pt>
                <c:pt idx="29">
                  <c:v>50.47771785649585</c:v>
                </c:pt>
                <c:pt idx="30">
                  <c:v>56.925389765903233</c:v>
                </c:pt>
                <c:pt idx="31">
                  <c:v>0.70710678118654757</c:v>
                </c:pt>
                <c:pt idx="32">
                  <c:v>35.923529893372113</c:v>
                </c:pt>
                <c:pt idx="33">
                  <c:v>56.586217403180427</c:v>
                </c:pt>
                <c:pt idx="34">
                  <c:v>37.821951298154893</c:v>
                </c:pt>
                <c:pt idx="35">
                  <c:v>73.061617830431317</c:v>
                </c:pt>
                <c:pt idx="36">
                  <c:v>49.678969393496892</c:v>
                </c:pt>
                <c:pt idx="37">
                  <c:v>7.6157731058639087</c:v>
                </c:pt>
                <c:pt idx="38">
                  <c:v>73.061617830431317</c:v>
                </c:pt>
                <c:pt idx="39">
                  <c:v>48.507731342539607</c:v>
                </c:pt>
                <c:pt idx="40">
                  <c:v>75.355822601840131</c:v>
                </c:pt>
                <c:pt idx="41">
                  <c:v>37.423254802328458</c:v>
                </c:pt>
                <c:pt idx="42">
                  <c:v>56.307193146169169</c:v>
                </c:pt>
                <c:pt idx="43">
                  <c:v>51.86520991955976</c:v>
                </c:pt>
                <c:pt idx="44">
                  <c:v>76.53757247260981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58-44E4-A376-B0860AE29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248448"/>
        <c:axId val="486245568"/>
      </c:scatterChart>
      <c:valAx>
        <c:axId val="486248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Blad5!$G$1</c:f>
              <c:strCache>
                <c:ptCount val="1"/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86245568"/>
        <c:crosses val="autoZero"/>
        <c:crossBetween val="midCat"/>
      </c:valAx>
      <c:valAx>
        <c:axId val="48624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8624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Mistral</a:t>
            </a:r>
          </a:p>
        </c:rich>
      </c:tx>
      <c:layout>
        <c:manualLayout>
          <c:xMode val="edge"/>
          <c:yMode val="edge"/>
          <c:x val="0.32840266841644788"/>
          <c:y val="1.3908205841446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Blad5!$F$1</c:f>
              <c:strCache>
                <c:ptCount val="1"/>
                <c:pt idx="0">
                  <c:v>RMSE_Mistral_novel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Blad5!$E$2:$E$46</c:f>
              <c:numCache>
                <c:formatCode>General</c:formatCode>
                <c:ptCount val="45"/>
                <c:pt idx="0">
                  <c:v>0</c:v>
                </c:pt>
                <c:pt idx="1">
                  <c:v>0.8936170212765957</c:v>
                </c:pt>
                <c:pt idx="2">
                  <c:v>0.16528925619834711</c:v>
                </c:pt>
                <c:pt idx="3">
                  <c:v>0.25</c:v>
                </c:pt>
                <c:pt idx="4">
                  <c:v>0</c:v>
                </c:pt>
                <c:pt idx="5">
                  <c:v>0.2142857142857143</c:v>
                </c:pt>
                <c:pt idx="6">
                  <c:v>0</c:v>
                </c:pt>
                <c:pt idx="7">
                  <c:v>6.4516129032258063E-2</c:v>
                </c:pt>
                <c:pt idx="8">
                  <c:v>0</c:v>
                </c:pt>
                <c:pt idx="9">
                  <c:v>0.16666666666666671</c:v>
                </c:pt>
                <c:pt idx="10">
                  <c:v>0</c:v>
                </c:pt>
                <c:pt idx="11">
                  <c:v>0.64516129032258063</c:v>
                </c:pt>
                <c:pt idx="12">
                  <c:v>0.1951219512195122</c:v>
                </c:pt>
                <c:pt idx="13">
                  <c:v>4.878048780487805E-2</c:v>
                </c:pt>
                <c:pt idx="14">
                  <c:v>0</c:v>
                </c:pt>
                <c:pt idx="15">
                  <c:v>5.8252427184466021E-2</c:v>
                </c:pt>
                <c:pt idx="16">
                  <c:v>0.34710743801652888</c:v>
                </c:pt>
                <c:pt idx="17">
                  <c:v>0</c:v>
                </c:pt>
                <c:pt idx="18">
                  <c:v>0.34710743801652888</c:v>
                </c:pt>
                <c:pt idx="19">
                  <c:v>0.66666666666666663</c:v>
                </c:pt>
                <c:pt idx="20">
                  <c:v>0.23008849557522121</c:v>
                </c:pt>
                <c:pt idx="21">
                  <c:v>0.66666666666666663</c:v>
                </c:pt>
                <c:pt idx="22">
                  <c:v>0.15267175572519079</c:v>
                </c:pt>
                <c:pt idx="23">
                  <c:v>0.13084112149532709</c:v>
                </c:pt>
                <c:pt idx="24">
                  <c:v>0.46153846153846162</c:v>
                </c:pt>
                <c:pt idx="25">
                  <c:v>0.33333333333333331</c:v>
                </c:pt>
                <c:pt idx="26">
                  <c:v>0.57971014492753625</c:v>
                </c:pt>
                <c:pt idx="27">
                  <c:v>0.49689440993788819</c:v>
                </c:pt>
                <c:pt idx="28">
                  <c:v>0.33057851239669422</c:v>
                </c:pt>
                <c:pt idx="29">
                  <c:v>5.8252427184466021E-2</c:v>
                </c:pt>
                <c:pt idx="30">
                  <c:v>0.16363636363636361</c:v>
                </c:pt>
                <c:pt idx="31">
                  <c:v>0.23008849557522121</c:v>
                </c:pt>
                <c:pt idx="32">
                  <c:v>7.6335877862595422E-2</c:v>
                </c:pt>
                <c:pt idx="33">
                  <c:v>0.99502487562189057</c:v>
                </c:pt>
                <c:pt idx="34">
                  <c:v>3.9215686274509803E-2</c:v>
                </c:pt>
                <c:pt idx="35">
                  <c:v>0.33057851239669422</c:v>
                </c:pt>
                <c:pt idx="36">
                  <c:v>0.16528925619834711</c:v>
                </c:pt>
                <c:pt idx="37">
                  <c:v>0.25</c:v>
                </c:pt>
                <c:pt idx="38">
                  <c:v>0</c:v>
                </c:pt>
                <c:pt idx="39">
                  <c:v>0.1981981981981982</c:v>
                </c:pt>
                <c:pt idx="40">
                  <c:v>0</c:v>
                </c:pt>
                <c:pt idx="41">
                  <c:v>0.75</c:v>
                </c:pt>
                <c:pt idx="42">
                  <c:v>0.75</c:v>
                </c:pt>
                <c:pt idx="43">
                  <c:v>0.13084112149532709</c:v>
                </c:pt>
                <c:pt idx="44">
                  <c:v>0.42519685039370081</c:v>
                </c:pt>
              </c:numCache>
            </c:numRef>
          </c:xVal>
          <c:yVal>
            <c:numRef>
              <c:f>Blad5!$F$2:$F$46</c:f>
              <c:numCache>
                <c:formatCode>General</c:formatCode>
                <c:ptCount val="45"/>
                <c:pt idx="0">
                  <c:v>29.740544715926099</c:v>
                </c:pt>
                <c:pt idx="1">
                  <c:v>3.5355339059327382</c:v>
                </c:pt>
                <c:pt idx="2">
                  <c:v>64.113181172049167</c:v>
                </c:pt>
                <c:pt idx="3">
                  <c:v>12.727922061357861</c:v>
                </c:pt>
                <c:pt idx="4">
                  <c:v>26.879360111431229</c:v>
                </c:pt>
                <c:pt idx="5">
                  <c:v>28.42534080710379</c:v>
                </c:pt>
                <c:pt idx="6">
                  <c:v>32.062439083762797</c:v>
                </c:pt>
                <c:pt idx="7">
                  <c:v>15.50806241927082</c:v>
                </c:pt>
                <c:pt idx="8">
                  <c:v>73.878278269055514</c:v>
                </c:pt>
                <c:pt idx="9">
                  <c:v>6.4031242374328494</c:v>
                </c:pt>
                <c:pt idx="10">
                  <c:v>11.704699910719629</c:v>
                </c:pt>
                <c:pt idx="11">
                  <c:v>7.1063352017759476</c:v>
                </c:pt>
                <c:pt idx="12">
                  <c:v>55.682133579811747</c:v>
                </c:pt>
                <c:pt idx="13">
                  <c:v>104.4629120788809</c:v>
                </c:pt>
                <c:pt idx="14">
                  <c:v>84.628600366542756</c:v>
                </c:pt>
                <c:pt idx="15">
                  <c:v>63.831810251629243</c:v>
                </c:pt>
                <c:pt idx="16">
                  <c:v>44.502808900113259</c:v>
                </c:pt>
                <c:pt idx="17">
                  <c:v>100</c:v>
                </c:pt>
                <c:pt idx="18">
                  <c:v>49.904909578116659</c:v>
                </c:pt>
                <c:pt idx="19">
                  <c:v>70.710678118654755</c:v>
                </c:pt>
                <c:pt idx="20">
                  <c:v>46.524187257812471</c:v>
                </c:pt>
                <c:pt idx="21">
                  <c:v>70.710678118654755</c:v>
                </c:pt>
                <c:pt idx="22">
                  <c:v>65.349062732375899</c:v>
                </c:pt>
                <c:pt idx="23">
                  <c:v>54.538976888093529</c:v>
                </c:pt>
                <c:pt idx="24">
                  <c:v>43.011626335213137</c:v>
                </c:pt>
                <c:pt idx="25">
                  <c:v>82.462112512353215</c:v>
                </c:pt>
                <c:pt idx="26">
                  <c:v>14.9164338901763</c:v>
                </c:pt>
                <c:pt idx="27">
                  <c:v>44.949972191315091</c:v>
                </c:pt>
                <c:pt idx="28">
                  <c:v>56.572961739686207</c:v>
                </c:pt>
                <c:pt idx="29">
                  <c:v>52.273320154740503</c:v>
                </c:pt>
                <c:pt idx="30">
                  <c:v>64.350602172784676</c:v>
                </c:pt>
                <c:pt idx="31">
                  <c:v>87.965902484996988</c:v>
                </c:pt>
                <c:pt idx="32">
                  <c:v>69.645531084198069</c:v>
                </c:pt>
                <c:pt idx="33">
                  <c:v>0.70710678118654757</c:v>
                </c:pt>
                <c:pt idx="34">
                  <c:v>50.695167422546312</c:v>
                </c:pt>
                <c:pt idx="35">
                  <c:v>56.572961739686207</c:v>
                </c:pt>
                <c:pt idx="36">
                  <c:v>64.113181172049167</c:v>
                </c:pt>
                <c:pt idx="37">
                  <c:v>10.295630140987001</c:v>
                </c:pt>
                <c:pt idx="38">
                  <c:v>100</c:v>
                </c:pt>
                <c:pt idx="39">
                  <c:v>46.802777695346244</c:v>
                </c:pt>
                <c:pt idx="40">
                  <c:v>77.398320395212707</c:v>
                </c:pt>
                <c:pt idx="41">
                  <c:v>28.284271247461898</c:v>
                </c:pt>
                <c:pt idx="42">
                  <c:v>28.284271247461898</c:v>
                </c:pt>
                <c:pt idx="43">
                  <c:v>48.42003717470692</c:v>
                </c:pt>
                <c:pt idx="44">
                  <c:v>36.776351096866577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C-4019-8EB2-4C4868194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466080"/>
        <c:axId val="411466560"/>
      </c:scatterChart>
      <c:valAx>
        <c:axId val="411466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Blad5!$G$1</c:f>
              <c:strCache>
                <c:ptCount val="1"/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11466560"/>
        <c:crosses val="autoZero"/>
        <c:crossBetween val="midCat"/>
      </c:valAx>
      <c:valAx>
        <c:axId val="41146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1146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124</xdr:colOff>
      <xdr:row>40</xdr:row>
      <xdr:rowOff>129811</xdr:rowOff>
    </xdr:from>
    <xdr:to>
      <xdr:col>24</xdr:col>
      <xdr:colOff>1</xdr:colOff>
      <xdr:row>58</xdr:row>
      <xdr:rowOff>27215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0233D76-48CB-4F45-B8CF-2DAC0ABDB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86541</xdr:colOff>
      <xdr:row>2</xdr:row>
      <xdr:rowOff>113482</xdr:rowOff>
    </xdr:from>
    <xdr:to>
      <xdr:col>23</xdr:col>
      <xdr:colOff>374196</xdr:colOff>
      <xdr:row>18</xdr:row>
      <xdr:rowOff>16872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BAEA5B-9CB9-4422-92C8-552E0ECD8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171993</xdr:colOff>
      <xdr:row>61</xdr:row>
      <xdr:rowOff>6532</xdr:rowOff>
    </xdr:from>
    <xdr:to>
      <xdr:col>23</xdr:col>
      <xdr:colOff>459648</xdr:colOff>
      <xdr:row>76</xdr:row>
      <xdr:rowOff>92529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17DE2F2A-BC4D-4478-9B2E-869C7C250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106952</xdr:colOff>
      <xdr:row>20</xdr:row>
      <xdr:rowOff>99876</xdr:rowOff>
    </xdr:from>
    <xdr:to>
      <xdr:col>23</xdr:col>
      <xdr:colOff>392702</xdr:colOff>
      <xdr:row>36</xdr:row>
      <xdr:rowOff>8980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DF537B73-10A5-4311-A53E-6A409F370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63FB-9F4B-4F59-943E-0985A39DCBD1}">
  <dimension ref="A1:L46"/>
  <sheetViews>
    <sheetView zoomScale="43" zoomScaleNormal="115" workbookViewId="0">
      <selection sqref="A1:A1048576"/>
    </sheetView>
  </sheetViews>
  <sheetFormatPr defaultRowHeight="14.4"/>
  <cols>
    <col min="1" max="1" width="43.6640625" customWidth="1"/>
    <col min="2" max="2" width="13.6640625" customWidth="1"/>
    <col min="3" max="3" width="25.109375" style="1" customWidth="1"/>
    <col min="5" max="5" width="13.33203125" customWidth="1"/>
    <col min="6" max="6" width="9.109375" style="1"/>
    <col min="7" max="7" width="10.44140625" customWidth="1"/>
  </cols>
  <sheetData>
    <row r="1" spans="1:12">
      <c r="A1" s="16" t="s">
        <v>19</v>
      </c>
      <c r="B1" s="2" t="s">
        <v>7</v>
      </c>
      <c r="C1" s="2" t="s">
        <v>6</v>
      </c>
      <c r="E1" s="2" t="s">
        <v>5</v>
      </c>
      <c r="F1" s="2" t="s">
        <v>4</v>
      </c>
      <c r="H1" t="s">
        <v>3</v>
      </c>
      <c r="I1" t="s">
        <v>2</v>
      </c>
      <c r="K1" t="s">
        <v>1</v>
      </c>
      <c r="L1" t="s">
        <v>0</v>
      </c>
    </row>
    <row r="2" spans="1:12">
      <c r="A2" t="s">
        <v>20</v>
      </c>
      <c r="B2">
        <v>0.80769230769230771</v>
      </c>
      <c r="C2" s="1">
        <v>5.8309518948453007</v>
      </c>
      <c r="E2">
        <v>0</v>
      </c>
      <c r="F2" s="1">
        <v>29.740544715926099</v>
      </c>
      <c r="H2">
        <v>6.25E-2</v>
      </c>
      <c r="I2">
        <v>15.8113883008419</v>
      </c>
      <c r="K2">
        <v>0.30555555555555558</v>
      </c>
      <c r="L2">
        <v>29.154759474226498</v>
      </c>
    </row>
    <row r="3" spans="1:12">
      <c r="A3" t="s">
        <v>21</v>
      </c>
      <c r="B3">
        <v>0</v>
      </c>
      <c r="C3" s="1">
        <v>16.507574019219181</v>
      </c>
      <c r="E3">
        <v>0.8936170212765957</v>
      </c>
      <c r="F3" s="1">
        <v>3.5355339059327382</v>
      </c>
      <c r="H3">
        <v>0.54545454545454541</v>
      </c>
      <c r="I3">
        <v>19.039432764659772</v>
      </c>
      <c r="K3">
        <v>0.51219512195121952</v>
      </c>
      <c r="L3">
        <v>28.284271247461898</v>
      </c>
    </row>
    <row r="4" spans="1:12">
      <c r="A4" t="s">
        <v>22</v>
      </c>
      <c r="B4">
        <v>0.80769230769230771</v>
      </c>
      <c r="C4" s="1">
        <v>7.0710678118654764</v>
      </c>
      <c r="E4">
        <v>0.16528925619834711</v>
      </c>
      <c r="F4" s="1">
        <v>64.113181172049167</v>
      </c>
      <c r="H4">
        <v>0.51219512195121952</v>
      </c>
      <c r="I4">
        <v>23.323807579381199</v>
      </c>
      <c r="K4">
        <v>0.30555555555555558</v>
      </c>
      <c r="L4">
        <v>29.154759474226498</v>
      </c>
    </row>
    <row r="5" spans="1:12">
      <c r="A5" t="s">
        <v>23</v>
      </c>
      <c r="B5">
        <v>0.7567567567567568</v>
      </c>
      <c r="C5" s="1">
        <v>5.1478150704935004</v>
      </c>
      <c r="E5">
        <v>0.25</v>
      </c>
      <c r="F5" s="1">
        <v>12.727922061357861</v>
      </c>
      <c r="H5">
        <v>0.71794871794871795</v>
      </c>
      <c r="I5">
        <v>5.7008771254956896</v>
      </c>
      <c r="K5">
        <v>5.4054054054054057E-2</v>
      </c>
      <c r="L5">
        <v>17.677669529663689</v>
      </c>
    </row>
    <row r="6" spans="1:12">
      <c r="A6" t="s">
        <v>24</v>
      </c>
      <c r="B6">
        <v>9.0909090909090912E-2</v>
      </c>
      <c r="C6" s="1">
        <v>11.180339887498951</v>
      </c>
      <c r="E6">
        <v>0</v>
      </c>
      <c r="F6" s="1">
        <v>26.879360111431229</v>
      </c>
      <c r="H6">
        <v>0.17391304347826089</v>
      </c>
      <c r="I6">
        <v>10.977249200050069</v>
      </c>
      <c r="K6">
        <v>4.7619047619047623E-2</v>
      </c>
      <c r="L6">
        <v>20</v>
      </c>
    </row>
    <row r="7" spans="1:12">
      <c r="A7" t="s">
        <v>25</v>
      </c>
      <c r="B7">
        <v>2.8169014084507039E-2</v>
      </c>
      <c r="C7" s="1">
        <v>42.901048938225273</v>
      </c>
      <c r="E7">
        <v>0.2142857142857143</v>
      </c>
      <c r="F7" s="1">
        <v>28.42534080710379</v>
      </c>
      <c r="H7">
        <v>0.15789473684210531</v>
      </c>
      <c r="I7">
        <v>42.5205832509386</v>
      </c>
      <c r="K7">
        <v>0.15789473684210531</v>
      </c>
      <c r="L7">
        <v>42.5205832509386</v>
      </c>
    </row>
    <row r="8" spans="1:12">
      <c r="A8" t="s">
        <v>26</v>
      </c>
      <c r="B8">
        <v>0.33333333333333331</v>
      </c>
      <c r="C8" s="1">
        <v>4</v>
      </c>
      <c r="E8">
        <v>0</v>
      </c>
      <c r="F8" s="1">
        <v>32.062439083762797</v>
      </c>
      <c r="H8">
        <v>0</v>
      </c>
      <c r="I8">
        <v>13.0384048104053</v>
      </c>
      <c r="K8">
        <v>0</v>
      </c>
      <c r="L8">
        <v>19.697715603592211</v>
      </c>
    </row>
    <row r="9" spans="1:12">
      <c r="A9" t="s">
        <v>27</v>
      </c>
      <c r="B9">
        <v>6.4516129032258063E-2</v>
      </c>
      <c r="C9" s="1">
        <v>15.50806241927082</v>
      </c>
      <c r="E9">
        <v>6.4516129032258063E-2</v>
      </c>
      <c r="F9" s="1">
        <v>15.50806241927082</v>
      </c>
      <c r="H9">
        <v>0.66666666666666663</v>
      </c>
      <c r="I9">
        <v>3.5355339059327382</v>
      </c>
      <c r="K9">
        <v>0.76923076923076927</v>
      </c>
      <c r="L9">
        <v>4.2426406871192848</v>
      </c>
    </row>
    <row r="10" spans="1:12">
      <c r="A10" t="s">
        <v>28</v>
      </c>
      <c r="B10">
        <v>5.8252427184466021E-2</v>
      </c>
      <c r="C10" s="1">
        <v>61.923339703216911</v>
      </c>
      <c r="E10">
        <v>0</v>
      </c>
      <c r="F10" s="1">
        <v>73.878278269055514</v>
      </c>
      <c r="H10">
        <v>0.1981981981981982</v>
      </c>
      <c r="I10">
        <v>56.307193146169169</v>
      </c>
      <c r="K10">
        <v>0.1679389312977099</v>
      </c>
      <c r="L10">
        <v>64.501937955382388</v>
      </c>
    </row>
    <row r="11" spans="1:12">
      <c r="A11" t="s">
        <v>29</v>
      </c>
      <c r="B11">
        <v>9.5238095238095233E-2</v>
      </c>
      <c r="C11" s="1">
        <v>9.5131487952202232</v>
      </c>
      <c r="E11">
        <v>0.16666666666666671</v>
      </c>
      <c r="F11" s="1">
        <v>6.4031242374328494</v>
      </c>
      <c r="H11">
        <v>0.25974025974025972</v>
      </c>
      <c r="I11">
        <v>31.53569406244296</v>
      </c>
      <c r="K11">
        <v>0.16666666666666671</v>
      </c>
      <c r="L11">
        <v>6.4031242374328494</v>
      </c>
    </row>
    <row r="12" spans="1:12">
      <c r="A12" t="s">
        <v>30</v>
      </c>
      <c r="B12">
        <v>0.33333333333333331</v>
      </c>
      <c r="C12" s="1">
        <v>4.1231056256176606</v>
      </c>
      <c r="E12">
        <v>0</v>
      </c>
      <c r="F12" s="1">
        <v>11.704699910719629</v>
      </c>
      <c r="H12">
        <v>0.95238095238095233</v>
      </c>
      <c r="I12">
        <v>0.70710678118654757</v>
      </c>
      <c r="K12">
        <v>0.32786885245901642</v>
      </c>
      <c r="L12">
        <v>28.293108701590221</v>
      </c>
    </row>
    <row r="13" spans="1:12">
      <c r="A13" t="s">
        <v>31</v>
      </c>
      <c r="B13">
        <v>0.95238095238095233</v>
      </c>
      <c r="C13" s="1">
        <v>0.70710678118654757</v>
      </c>
      <c r="E13">
        <v>0.64516129032258063</v>
      </c>
      <c r="F13" s="1">
        <v>7.1063352017759476</v>
      </c>
      <c r="H13">
        <v>0.36734693877551022</v>
      </c>
      <c r="I13">
        <v>21.22498527679112</v>
      </c>
      <c r="K13">
        <v>0.32786885245901642</v>
      </c>
      <c r="L13">
        <v>22.59424705539001</v>
      </c>
    </row>
    <row r="14" spans="1:12">
      <c r="A14" t="s">
        <v>32</v>
      </c>
      <c r="B14">
        <v>0.31818181818181818</v>
      </c>
      <c r="C14" s="1">
        <v>57.008771254956898</v>
      </c>
      <c r="E14">
        <v>0.1951219512195122</v>
      </c>
      <c r="F14" s="1">
        <v>55.682133579811747</v>
      </c>
      <c r="H14">
        <v>0.53947368421052633</v>
      </c>
      <c r="I14">
        <v>43.011626335213137</v>
      </c>
      <c r="K14">
        <v>0.62962962962962965</v>
      </c>
      <c r="L14">
        <v>42.426406871192853</v>
      </c>
    </row>
    <row r="15" spans="1:12">
      <c r="A15" t="s">
        <v>33</v>
      </c>
      <c r="B15">
        <v>0.26839826839826841</v>
      </c>
      <c r="C15" s="1">
        <v>95.501308891553947</v>
      </c>
      <c r="E15">
        <v>4.878048780487805E-2</v>
      </c>
      <c r="F15" s="1">
        <v>104.4629120788809</v>
      </c>
      <c r="H15">
        <v>0.58657243816254412</v>
      </c>
      <c r="I15">
        <v>58.502136713115007</v>
      </c>
      <c r="K15">
        <v>0.2608695652173913</v>
      </c>
      <c r="L15">
        <v>86.313382508160345</v>
      </c>
    </row>
    <row r="16" spans="1:12">
      <c r="A16" t="s">
        <v>34</v>
      </c>
      <c r="B16">
        <v>3.9215686274509803E-2</v>
      </c>
      <c r="C16" s="1">
        <v>50.960769224963627</v>
      </c>
      <c r="E16">
        <v>0</v>
      </c>
      <c r="F16" s="1">
        <v>84.628600366542756</v>
      </c>
      <c r="H16">
        <v>0.77011494252873558</v>
      </c>
      <c r="I16">
        <v>23.85372088375313</v>
      </c>
      <c r="K16">
        <v>0.47328244274809161</v>
      </c>
      <c r="L16">
        <v>37.423254802328458</v>
      </c>
    </row>
    <row r="17" spans="1:12">
      <c r="A17" t="s">
        <v>35</v>
      </c>
      <c r="B17">
        <v>0.25862068965517238</v>
      </c>
      <c r="C17" s="1">
        <v>60.108235708594883</v>
      </c>
      <c r="E17">
        <v>5.8252427184466021E-2</v>
      </c>
      <c r="F17" s="1">
        <v>63.831810251629243</v>
      </c>
      <c r="H17">
        <v>0.52023121387283233</v>
      </c>
      <c r="I17">
        <v>43.640577448058593</v>
      </c>
      <c r="K17">
        <v>0.15267175572519079</v>
      </c>
      <c r="L17">
        <v>65.349062732375899</v>
      </c>
    </row>
    <row r="18" spans="1:12">
      <c r="A18" t="s">
        <v>36</v>
      </c>
      <c r="B18">
        <v>1.9801980198019799E-2</v>
      </c>
      <c r="C18" s="1">
        <v>50.601383380298998</v>
      </c>
      <c r="E18">
        <v>0.34710743801652888</v>
      </c>
      <c r="F18" s="1">
        <v>44.502808900113259</v>
      </c>
      <c r="H18">
        <v>0.13084112149532709</v>
      </c>
      <c r="I18">
        <v>48.42003717470692</v>
      </c>
      <c r="K18">
        <v>0.66225165562913912</v>
      </c>
      <c r="L18">
        <v>35.362409420173847</v>
      </c>
    </row>
    <row r="19" spans="1:12">
      <c r="A19" t="s">
        <v>37</v>
      </c>
      <c r="B19">
        <v>0.1981981981981982</v>
      </c>
      <c r="C19" s="1">
        <v>62.932503525602733</v>
      </c>
      <c r="E19">
        <v>0</v>
      </c>
      <c r="F19" s="1">
        <v>100</v>
      </c>
      <c r="H19">
        <v>0.2978723404255319</v>
      </c>
      <c r="I19">
        <v>57.623779813545717</v>
      </c>
      <c r="K19">
        <v>0.1132075471698113</v>
      </c>
      <c r="L19">
        <v>56.859475903318</v>
      </c>
    </row>
    <row r="20" spans="1:12">
      <c r="A20" t="s">
        <v>38</v>
      </c>
      <c r="B20">
        <v>0</v>
      </c>
      <c r="C20" s="1">
        <v>70.71421356417676</v>
      </c>
      <c r="E20">
        <v>0.34710743801652888</v>
      </c>
      <c r="F20" s="1">
        <v>49.904909578116659</v>
      </c>
      <c r="H20">
        <v>0</v>
      </c>
      <c r="I20">
        <v>70.71421356417676</v>
      </c>
      <c r="K20">
        <v>0.44117647058823528</v>
      </c>
      <c r="L20">
        <v>49.678969393496892</v>
      </c>
    </row>
    <row r="21" spans="1:12">
      <c r="A21" t="s">
        <v>39</v>
      </c>
      <c r="B21">
        <v>3.9215686274509803E-2</v>
      </c>
      <c r="C21" s="1">
        <v>49.254441424099006</v>
      </c>
      <c r="E21">
        <v>0.66666666666666663</v>
      </c>
      <c r="F21" s="1">
        <v>70.710678118654755</v>
      </c>
      <c r="H21">
        <v>3.9215686274509803E-2</v>
      </c>
      <c r="I21">
        <v>49.254441424099006</v>
      </c>
      <c r="K21">
        <v>0.75776397515527949</v>
      </c>
      <c r="L21">
        <v>21.691011963483859</v>
      </c>
    </row>
    <row r="22" spans="1:12">
      <c r="A22" t="s">
        <v>40</v>
      </c>
      <c r="B22">
        <v>0.27586206896551718</v>
      </c>
      <c r="C22" s="1">
        <v>44.944410108488462</v>
      </c>
      <c r="E22">
        <v>0.23008849557522121</v>
      </c>
      <c r="F22" s="1">
        <v>46.524187257812471</v>
      </c>
      <c r="H22">
        <v>0.66225165562913912</v>
      </c>
      <c r="I22">
        <v>35.362409420173847</v>
      </c>
      <c r="K22">
        <v>0.52941176470588236</v>
      </c>
      <c r="L22">
        <v>36.715119501371639</v>
      </c>
    </row>
    <row r="23" spans="1:12">
      <c r="A23" t="s">
        <v>41</v>
      </c>
      <c r="B23">
        <v>0.47328244274809161</v>
      </c>
      <c r="C23" s="1">
        <v>48.790367901871782</v>
      </c>
      <c r="E23">
        <v>0.66666666666666663</v>
      </c>
      <c r="F23" s="1">
        <v>70.710678118654755</v>
      </c>
      <c r="H23">
        <v>0.82987551867219922</v>
      </c>
      <c r="I23">
        <v>28.991378028648452</v>
      </c>
      <c r="K23">
        <v>0.66225165562913912</v>
      </c>
      <c r="L23">
        <v>35.362409420173847</v>
      </c>
    </row>
    <row r="24" spans="1:12">
      <c r="A24" t="s">
        <v>42</v>
      </c>
      <c r="B24">
        <v>0.36065573770491799</v>
      </c>
      <c r="C24" s="1">
        <v>46.324939287601879</v>
      </c>
      <c r="E24">
        <v>0.15267175572519079</v>
      </c>
      <c r="F24" s="1">
        <v>65.349062732375899</v>
      </c>
      <c r="H24">
        <v>0.2479338842975207</v>
      </c>
      <c r="I24">
        <v>60.25363059600641</v>
      </c>
      <c r="K24">
        <v>0.66225165562913912</v>
      </c>
      <c r="L24">
        <v>35.362409420173847</v>
      </c>
    </row>
    <row r="25" spans="1:12">
      <c r="A25" t="s">
        <v>43</v>
      </c>
      <c r="B25">
        <v>0.38709677419354838</v>
      </c>
      <c r="C25" s="1">
        <v>43.416586692184822</v>
      </c>
      <c r="E25">
        <v>0.13084112149532709</v>
      </c>
      <c r="F25" s="1">
        <v>54.538976888093529</v>
      </c>
      <c r="H25">
        <v>0.85057471264367812</v>
      </c>
      <c r="I25">
        <v>13.60147050873544</v>
      </c>
      <c r="K25">
        <v>0.13084112149532709</v>
      </c>
      <c r="L25">
        <v>54.538976888093529</v>
      </c>
    </row>
    <row r="26" spans="1:12">
      <c r="A26" t="s">
        <v>44</v>
      </c>
      <c r="B26">
        <v>0.1981981981981982</v>
      </c>
      <c r="C26" s="1">
        <v>56.925389765903233</v>
      </c>
      <c r="E26">
        <v>0.46153846153846162</v>
      </c>
      <c r="F26" s="1">
        <v>43.011626335213137</v>
      </c>
      <c r="H26">
        <v>0.24806201550387599</v>
      </c>
      <c r="I26">
        <v>60.104076400856542</v>
      </c>
      <c r="K26">
        <v>0.3968253968253968</v>
      </c>
      <c r="L26">
        <v>53.037722424704477</v>
      </c>
    </row>
    <row r="27" spans="1:12">
      <c r="A27" t="s">
        <v>45</v>
      </c>
      <c r="B27">
        <v>0.1981981981981982</v>
      </c>
      <c r="C27" s="1">
        <v>56.925389765903233</v>
      </c>
      <c r="E27">
        <v>0.33333333333333331</v>
      </c>
      <c r="F27" s="1">
        <v>82.462112512353215</v>
      </c>
      <c r="H27">
        <v>0.22807017543859651</v>
      </c>
      <c r="I27">
        <v>61.522353661088097</v>
      </c>
      <c r="K27">
        <v>0.34710743801652888</v>
      </c>
      <c r="L27">
        <v>49.904909578116659</v>
      </c>
    </row>
    <row r="28" spans="1:12">
      <c r="A28" t="s">
        <v>46</v>
      </c>
      <c r="B28">
        <v>0</v>
      </c>
      <c r="C28" s="1">
        <v>44.32268042436062</v>
      </c>
      <c r="E28">
        <v>0.57971014492753625</v>
      </c>
      <c r="F28" s="1">
        <v>14.9164338901763</v>
      </c>
      <c r="H28">
        <v>0</v>
      </c>
      <c r="I28">
        <v>60.530983801686233</v>
      </c>
      <c r="K28">
        <v>0</v>
      </c>
      <c r="L28">
        <v>28.63564212655271</v>
      </c>
    </row>
    <row r="29" spans="1:12">
      <c r="A29" t="s">
        <v>47</v>
      </c>
      <c r="B29">
        <v>0.34710743801652888</v>
      </c>
      <c r="C29" s="1">
        <v>40.871750635371612</v>
      </c>
      <c r="E29">
        <v>0.49689440993788819</v>
      </c>
      <c r="F29" s="1">
        <v>44.949972191315091</v>
      </c>
      <c r="H29">
        <v>0.58156028368794321</v>
      </c>
      <c r="I29">
        <v>35.923529893372113</v>
      </c>
      <c r="K29">
        <v>0.67549668874172186</v>
      </c>
      <c r="L29">
        <v>34.648232278140831</v>
      </c>
    </row>
    <row r="30" spans="1:12">
      <c r="A30" t="s">
        <v>48</v>
      </c>
      <c r="B30">
        <v>0.30508474576271188</v>
      </c>
      <c r="C30" s="1">
        <v>56.586217403180427</v>
      </c>
      <c r="E30">
        <v>0.33057851239669422</v>
      </c>
      <c r="F30" s="1">
        <v>56.572961739686207</v>
      </c>
      <c r="H30">
        <v>0.33057851239669422</v>
      </c>
      <c r="I30">
        <v>56.572961739686207</v>
      </c>
      <c r="K30">
        <v>0.27586206896551718</v>
      </c>
      <c r="L30">
        <v>50.47771785649585</v>
      </c>
    </row>
    <row r="31" spans="1:12">
      <c r="A31" t="s">
        <v>49</v>
      </c>
      <c r="B31">
        <v>1.9801980198019799E-2</v>
      </c>
      <c r="C31" s="1">
        <v>52.8441103624614</v>
      </c>
      <c r="E31">
        <v>5.8252427184466021E-2</v>
      </c>
      <c r="F31" s="1">
        <v>52.273320154740503</v>
      </c>
      <c r="H31">
        <v>1.9801980198019799E-2</v>
      </c>
      <c r="I31">
        <v>52.8441103624614</v>
      </c>
      <c r="K31">
        <v>0.27586206896551718</v>
      </c>
      <c r="L31">
        <v>50.47771785649585</v>
      </c>
    </row>
    <row r="32" spans="1:12">
      <c r="A32" t="s">
        <v>50</v>
      </c>
      <c r="B32">
        <v>0.24561403508771931</v>
      </c>
      <c r="C32" s="1">
        <v>56.727418414731339</v>
      </c>
      <c r="E32">
        <v>0.16363636363636361</v>
      </c>
      <c r="F32" s="1">
        <v>64.350602172784676</v>
      </c>
      <c r="H32">
        <v>0.1238938053097345</v>
      </c>
      <c r="I32">
        <v>65.897647909466386</v>
      </c>
      <c r="K32">
        <v>0.1981981981981982</v>
      </c>
      <c r="L32">
        <v>56.925389765903233</v>
      </c>
    </row>
    <row r="33" spans="1:12">
      <c r="A33" t="s">
        <v>51</v>
      </c>
      <c r="B33">
        <v>0</v>
      </c>
      <c r="C33" s="1">
        <v>107.05372483010581</v>
      </c>
      <c r="E33">
        <v>0.23008849557522121</v>
      </c>
      <c r="F33" s="1">
        <v>87.965902484996988</v>
      </c>
      <c r="H33">
        <v>0.41059602649006621</v>
      </c>
      <c r="I33">
        <v>50.798622028555073</v>
      </c>
      <c r="K33">
        <v>0.99502487562189057</v>
      </c>
      <c r="L33">
        <v>0.70710678118654757</v>
      </c>
    </row>
    <row r="34" spans="1:12">
      <c r="A34" t="s">
        <v>52</v>
      </c>
      <c r="B34">
        <v>0.33057851239669422</v>
      </c>
      <c r="C34" s="1">
        <v>56.572961739686207</v>
      </c>
      <c r="E34">
        <v>7.6335877862595422E-2</v>
      </c>
      <c r="F34" s="1">
        <v>69.645531084198069</v>
      </c>
      <c r="H34">
        <v>0.1801801801801802</v>
      </c>
      <c r="I34">
        <v>63.643538556557331</v>
      </c>
      <c r="K34">
        <v>0.58156028368794321</v>
      </c>
      <c r="L34">
        <v>35.923529893372113</v>
      </c>
    </row>
    <row r="35" spans="1:12">
      <c r="A35" t="s">
        <v>53</v>
      </c>
      <c r="B35">
        <v>0.13084112149532709</v>
      </c>
      <c r="C35" s="1">
        <v>62.325757115337147</v>
      </c>
      <c r="E35">
        <v>0.99502487562189057</v>
      </c>
      <c r="F35" s="1">
        <v>0.70710678118654757</v>
      </c>
      <c r="H35">
        <v>0.2105263157894737</v>
      </c>
      <c r="I35">
        <v>62.241465278381739</v>
      </c>
      <c r="K35">
        <v>0.30508474576271188</v>
      </c>
      <c r="L35">
        <v>56.586217403180427</v>
      </c>
    </row>
    <row r="36" spans="1:12">
      <c r="A36" t="s">
        <v>54</v>
      </c>
      <c r="B36">
        <v>7.6923076923076927E-2</v>
      </c>
      <c r="C36" s="1">
        <v>50.921508225896062</v>
      </c>
      <c r="E36">
        <v>3.9215686274509803E-2</v>
      </c>
      <c r="F36" s="1">
        <v>50.695167422546312</v>
      </c>
      <c r="H36">
        <v>5.8252427184466021E-2</v>
      </c>
      <c r="I36">
        <v>52.273320154740503</v>
      </c>
      <c r="K36">
        <v>0.47328244274809161</v>
      </c>
      <c r="L36">
        <v>37.821951298154893</v>
      </c>
    </row>
    <row r="37" spans="1:12">
      <c r="A37" t="s">
        <v>55</v>
      </c>
      <c r="B37">
        <v>0.30534351145038169</v>
      </c>
      <c r="C37" s="1">
        <v>57.10078808562978</v>
      </c>
      <c r="E37">
        <v>0.33057851239669422</v>
      </c>
      <c r="F37" s="1">
        <v>56.572961739686207</v>
      </c>
      <c r="H37">
        <v>0.36046511627906969</v>
      </c>
      <c r="I37">
        <v>56.753854494650852</v>
      </c>
      <c r="K37">
        <v>0</v>
      </c>
      <c r="L37">
        <v>73.061617830431317</v>
      </c>
    </row>
    <row r="38" spans="1:12">
      <c r="A38" t="s">
        <v>56</v>
      </c>
      <c r="B38">
        <v>0.1132075471698113</v>
      </c>
      <c r="C38" s="1">
        <v>57.428216061444921</v>
      </c>
      <c r="E38">
        <v>0.16528925619834711</v>
      </c>
      <c r="F38" s="1">
        <v>64.113181172049167</v>
      </c>
      <c r="H38">
        <v>1.9801980198019799E-2</v>
      </c>
      <c r="I38">
        <v>60.336556083356299</v>
      </c>
      <c r="K38">
        <v>0.44117647058823528</v>
      </c>
      <c r="L38">
        <v>49.678969393496892</v>
      </c>
    </row>
    <row r="39" spans="1:12">
      <c r="A39" t="s">
        <v>57</v>
      </c>
      <c r="B39">
        <v>0.86486486486486491</v>
      </c>
      <c r="C39" s="1">
        <v>3.5355339059327382</v>
      </c>
      <c r="E39">
        <v>0.25</v>
      </c>
      <c r="F39" s="1">
        <v>10.295630140987001</v>
      </c>
      <c r="H39">
        <v>0.66666666666666663</v>
      </c>
      <c r="I39">
        <v>9.6176920308356717</v>
      </c>
      <c r="K39">
        <v>0.5</v>
      </c>
      <c r="L39">
        <v>7.6157731058639087</v>
      </c>
    </row>
    <row r="40" spans="1:12">
      <c r="A40" t="s">
        <v>58</v>
      </c>
      <c r="B40">
        <v>0.64864864864864868</v>
      </c>
      <c r="C40" s="1">
        <v>30.016662039607269</v>
      </c>
      <c r="E40">
        <v>0</v>
      </c>
      <c r="F40" s="1">
        <v>100</v>
      </c>
      <c r="H40">
        <v>0.64864864864864868</v>
      </c>
      <c r="I40">
        <v>30.016662039607269</v>
      </c>
      <c r="K40">
        <v>0</v>
      </c>
      <c r="L40">
        <v>73.061617830431317</v>
      </c>
    </row>
    <row r="41" spans="1:12">
      <c r="A41" t="s">
        <v>59</v>
      </c>
      <c r="B41">
        <v>5.8252427184466021E-2</v>
      </c>
      <c r="C41" s="1">
        <v>50.084927872564613</v>
      </c>
      <c r="E41">
        <v>0.1981981981981982</v>
      </c>
      <c r="F41" s="1">
        <v>46.802777695346244</v>
      </c>
      <c r="H41">
        <v>0.32635983263598328</v>
      </c>
      <c r="I41">
        <v>82.828135316449078</v>
      </c>
      <c r="K41">
        <v>0.1132075471698113</v>
      </c>
      <c r="L41">
        <v>48.507731342539607</v>
      </c>
    </row>
    <row r="42" spans="1:12">
      <c r="A42" t="s">
        <v>60</v>
      </c>
      <c r="B42">
        <v>0.10344827586206901</v>
      </c>
      <c r="C42" s="1">
        <v>66.843099868273612</v>
      </c>
      <c r="E42">
        <v>0</v>
      </c>
      <c r="F42" s="1">
        <v>77.398320395212707</v>
      </c>
      <c r="H42">
        <v>0.1081081081081081</v>
      </c>
      <c r="I42">
        <v>66.562001171839782</v>
      </c>
      <c r="K42">
        <v>0</v>
      </c>
      <c r="L42">
        <v>75.355822601840131</v>
      </c>
    </row>
    <row r="43" spans="1:12">
      <c r="A43" t="s">
        <v>61</v>
      </c>
      <c r="B43">
        <v>0.1132075471698113</v>
      </c>
      <c r="C43" s="1">
        <v>47.095647357266458</v>
      </c>
      <c r="E43">
        <v>0.75</v>
      </c>
      <c r="F43" s="1">
        <v>28.284271247461898</v>
      </c>
      <c r="H43">
        <v>0.85057471264367812</v>
      </c>
      <c r="I43">
        <v>16.40121946685673</v>
      </c>
      <c r="K43">
        <v>0.47328244274809161</v>
      </c>
      <c r="L43">
        <v>37.423254802328458</v>
      </c>
    </row>
    <row r="44" spans="1:12">
      <c r="A44" t="s">
        <v>62</v>
      </c>
      <c r="B44">
        <v>0.2142857142857143</v>
      </c>
      <c r="C44" s="1">
        <v>46.486557196677843</v>
      </c>
      <c r="E44">
        <v>0.75</v>
      </c>
      <c r="F44" s="1">
        <v>28.284271247461898</v>
      </c>
      <c r="H44">
        <v>0.44961240310077522</v>
      </c>
      <c r="I44">
        <v>36.090164865237178</v>
      </c>
      <c r="K44">
        <v>0.32061068702290069</v>
      </c>
      <c r="L44">
        <v>56.307193146169169</v>
      </c>
    </row>
    <row r="45" spans="1:12">
      <c r="A45" t="s">
        <v>63</v>
      </c>
      <c r="B45">
        <v>0</v>
      </c>
      <c r="C45" s="1">
        <v>0</v>
      </c>
      <c r="E45">
        <v>0.13084112149532709</v>
      </c>
      <c r="F45" s="1">
        <v>48.42003717470692</v>
      </c>
      <c r="H45">
        <v>0</v>
      </c>
      <c r="I45">
        <v>0</v>
      </c>
      <c r="K45">
        <v>3.9215686274509803E-2</v>
      </c>
      <c r="L45">
        <v>51.86520991955976</v>
      </c>
    </row>
    <row r="46" spans="1:12">
      <c r="A46" t="s">
        <v>64</v>
      </c>
      <c r="B46">
        <v>0</v>
      </c>
      <c r="C46" s="1">
        <v>83.429611050273991</v>
      </c>
      <c r="E46">
        <v>0.42519685039370081</v>
      </c>
      <c r="F46" s="1">
        <v>36.776351096866577</v>
      </c>
      <c r="H46">
        <v>0.717741935483871</v>
      </c>
      <c r="I46">
        <v>42.43819034784589</v>
      </c>
      <c r="K46">
        <v>0</v>
      </c>
      <c r="L46">
        <v>76.53757247260981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BAC0-3574-4B15-AF65-3C167A144ABA}">
  <dimension ref="A1:X46"/>
  <sheetViews>
    <sheetView tabSelected="1" topLeftCell="E11" zoomScale="80" zoomScaleNormal="100" workbookViewId="0">
      <selection activeCell="S21" sqref="S21"/>
    </sheetView>
  </sheetViews>
  <sheetFormatPr defaultRowHeight="14.4"/>
  <cols>
    <col min="1" max="1" width="43.6640625" customWidth="1"/>
    <col min="2" max="2" width="13.6640625" customWidth="1"/>
    <col min="3" max="3" width="25.109375" style="1" customWidth="1"/>
    <col min="5" max="5" width="13.33203125" customWidth="1"/>
    <col min="6" max="6" width="9.109375" style="1"/>
    <col min="7" max="7" width="10.44140625" customWidth="1"/>
    <col min="18" max="18" width="11.5546875" customWidth="1"/>
    <col min="19" max="19" width="10.6640625" customWidth="1"/>
    <col min="20" max="20" width="12.6640625" customWidth="1"/>
    <col min="21" max="21" width="12.88671875" customWidth="1"/>
    <col min="22" max="22" width="11" customWidth="1"/>
  </cols>
  <sheetData>
    <row r="1" spans="1:24">
      <c r="A1" s="16" t="s">
        <v>19</v>
      </c>
      <c r="B1" s="2" t="s">
        <v>7</v>
      </c>
      <c r="C1" s="2" t="s">
        <v>6</v>
      </c>
      <c r="E1" s="2" t="s">
        <v>5</v>
      </c>
      <c r="F1" s="2" t="s">
        <v>4</v>
      </c>
      <c r="H1" s="3" t="s">
        <v>3</v>
      </c>
      <c r="I1" s="3" t="s">
        <v>2</v>
      </c>
      <c r="J1" s="3"/>
      <c r="K1" s="3" t="s">
        <v>1</v>
      </c>
      <c r="L1" s="3" t="s">
        <v>0</v>
      </c>
    </row>
    <row r="2" spans="1:24">
      <c r="A2" t="s">
        <v>20</v>
      </c>
      <c r="B2">
        <v>0.80769230769230771</v>
      </c>
      <c r="C2" s="1">
        <v>5.8309518948453007</v>
      </c>
      <c r="E2">
        <v>0</v>
      </c>
      <c r="F2" s="1">
        <v>29.740544715926099</v>
      </c>
      <c r="H2">
        <v>6.25E-2</v>
      </c>
      <c r="I2">
        <v>15.8113883008419</v>
      </c>
      <c r="K2">
        <v>0.30555555555555558</v>
      </c>
      <c r="L2">
        <v>29.154759474226498</v>
      </c>
    </row>
    <row r="3" spans="1:24">
      <c r="A3" t="s">
        <v>21</v>
      </c>
      <c r="B3">
        <v>0</v>
      </c>
      <c r="C3" s="1">
        <v>16.507574019219181</v>
      </c>
      <c r="E3">
        <v>0.8936170212765957</v>
      </c>
      <c r="F3" s="1">
        <v>3.5355339059327382</v>
      </c>
      <c r="H3">
        <v>0.54545454545454541</v>
      </c>
      <c r="I3">
        <v>19.039432764659772</v>
      </c>
      <c r="K3">
        <v>0.51219512195121952</v>
      </c>
      <c r="L3">
        <v>28.284271247461898</v>
      </c>
    </row>
    <row r="4" spans="1:24" ht="43.2">
      <c r="A4" t="s">
        <v>22</v>
      </c>
      <c r="B4">
        <v>0.80769230769230771</v>
      </c>
      <c r="C4" s="1">
        <v>7.0710678118654764</v>
      </c>
      <c r="E4">
        <v>0.16528925619834711</v>
      </c>
      <c r="F4" s="1">
        <v>64.113181172049167</v>
      </c>
      <c r="H4">
        <v>0.51219512195121952</v>
      </c>
      <c r="I4">
        <v>23.323807579381199</v>
      </c>
      <c r="K4">
        <v>0.30555555555555558</v>
      </c>
      <c r="L4">
        <v>29.154759474226498</v>
      </c>
      <c r="P4" t="s">
        <v>8</v>
      </c>
      <c r="Q4" s="5" t="s">
        <v>13</v>
      </c>
      <c r="R4" s="5" t="s">
        <v>14</v>
      </c>
      <c r="S4" s="5" t="s">
        <v>15</v>
      </c>
      <c r="T4" s="5" t="s">
        <v>16</v>
      </c>
      <c r="U4" s="5" t="s">
        <v>17</v>
      </c>
      <c r="V4" s="5" t="s">
        <v>18</v>
      </c>
      <c r="W4" s="5"/>
      <c r="X4" s="5"/>
    </row>
    <row r="5" spans="1:24">
      <c r="A5" t="s">
        <v>23</v>
      </c>
      <c r="B5">
        <v>0.7567567567567568</v>
      </c>
      <c r="C5" s="1">
        <v>5.1478150704935004</v>
      </c>
      <c r="E5">
        <v>0.25</v>
      </c>
      <c r="F5" s="1">
        <v>12.727922061357861</v>
      </c>
      <c r="H5">
        <v>0.71794871794871795</v>
      </c>
      <c r="I5">
        <v>5.7008771254956896</v>
      </c>
      <c r="K5">
        <v>5.4054054054054057E-2</v>
      </c>
      <c r="L5">
        <v>17.677669529663689</v>
      </c>
      <c r="P5" t="s">
        <v>9</v>
      </c>
      <c r="Q5">
        <f>MAX(C2:C46)</f>
        <v>107.05372483010581</v>
      </c>
      <c r="R5">
        <f>Q5/2</f>
        <v>53.526862415052904</v>
      </c>
      <c r="S5">
        <f>COUNTIFS(B2:B46,"&lt;0,5",C2:C46,"&lt;="&amp;R5)</f>
        <v>22</v>
      </c>
      <c r="T5">
        <f>COUNTIFS(B2:B46,"&lt;0,5",C2:C46,"&gt;"&amp;R5)</f>
        <v>17</v>
      </c>
      <c r="U5">
        <f>COUNTIFS(B2:B46,"&gt;=0,5",C2:C46,"&gt;"&amp;R5)</f>
        <v>0</v>
      </c>
      <c r="V5" s="4">
        <f>COUNTIFS(B2:B46,"&gt;=0,5",C2:C46,"&lt;="&amp;R5)</f>
        <v>6</v>
      </c>
    </row>
    <row r="6" spans="1:24">
      <c r="A6" t="s">
        <v>24</v>
      </c>
      <c r="B6">
        <v>9.0909090909090912E-2</v>
      </c>
      <c r="C6" s="1">
        <v>11.180339887498951</v>
      </c>
      <c r="E6">
        <v>0</v>
      </c>
      <c r="F6" s="1">
        <v>26.879360111431229</v>
      </c>
      <c r="H6">
        <v>0.17391304347826089</v>
      </c>
      <c r="I6">
        <v>10.977249200050069</v>
      </c>
      <c r="K6">
        <v>4.7619047619047623E-2</v>
      </c>
      <c r="L6">
        <v>20</v>
      </c>
      <c r="P6" t="s">
        <v>10</v>
      </c>
      <c r="Q6">
        <f>MAX(F2:F46)</f>
        <v>104.4629120788809</v>
      </c>
      <c r="R6">
        <f t="shared" ref="R6:R8" si="0">Q6/2</f>
        <v>52.231456039440452</v>
      </c>
      <c r="S6">
        <f>COUNTIFS(E2:E46,"&lt;0,5",F2:F46,"&lt;="&amp;R6)</f>
        <v>18</v>
      </c>
      <c r="T6">
        <f>COUNTIFS(E2:E46,"&lt;0,5",F2:F46,"&gt;"&amp;R6)</f>
        <v>19</v>
      </c>
      <c r="U6">
        <f>COUNTIFS(E2:E46,"&gt;=0,5",F2:F46,"&gt;"&amp;R6)</f>
        <v>2</v>
      </c>
      <c r="V6">
        <f>COUNTIFS(E2:E46,"&gt;=0,5",F2:F46,"&lt;="&amp;R6)</f>
        <v>6</v>
      </c>
    </row>
    <row r="7" spans="1:24">
      <c r="A7" t="s">
        <v>25</v>
      </c>
      <c r="B7">
        <v>2.8169014084507039E-2</v>
      </c>
      <c r="C7" s="1">
        <v>42.901048938225273</v>
      </c>
      <c r="E7">
        <v>0.2142857142857143</v>
      </c>
      <c r="F7" s="1">
        <v>28.42534080710379</v>
      </c>
      <c r="H7">
        <v>0.15789473684210531</v>
      </c>
      <c r="I7">
        <v>42.5205832509386</v>
      </c>
      <c r="K7">
        <v>0.15789473684210531</v>
      </c>
      <c r="L7">
        <v>42.5205832509386</v>
      </c>
      <c r="P7" t="s">
        <v>11</v>
      </c>
      <c r="Q7">
        <f>MAX(I2:I46)</f>
        <v>82.828135316449078</v>
      </c>
      <c r="R7">
        <f t="shared" si="0"/>
        <v>41.414067658224539</v>
      </c>
      <c r="S7">
        <f>COUNTIFS(H2:H46,"&lt;0,5",I2:I46,"&lt;="&amp;R6)</f>
        <v>11</v>
      </c>
      <c r="T7">
        <f>COUNTIFS(H2:H46,"&lt;0,5",I2:I46,"&gt;"&amp;R7)</f>
        <v>21</v>
      </c>
      <c r="U7">
        <f>COUNTIFS(H2:H46,"&gt;=0,5",I2:I46,"&gt;"&amp;R7)</f>
        <v>4</v>
      </c>
      <c r="V7">
        <f>COUNTIFS(H2:H46,"&gt;=0,5",I2:I46,"&lt;="&amp;R7)</f>
        <v>13</v>
      </c>
    </row>
    <row r="8" spans="1:24">
      <c r="A8" t="s">
        <v>26</v>
      </c>
      <c r="B8">
        <v>0.33333333333333331</v>
      </c>
      <c r="C8" s="1">
        <v>4</v>
      </c>
      <c r="E8">
        <v>0</v>
      </c>
      <c r="F8" s="1">
        <v>32.062439083762797</v>
      </c>
      <c r="H8">
        <v>0</v>
      </c>
      <c r="I8">
        <v>13.0384048104053</v>
      </c>
      <c r="K8">
        <v>0</v>
      </c>
      <c r="L8">
        <v>19.697715603592211</v>
      </c>
      <c r="P8" t="s">
        <v>12</v>
      </c>
      <c r="Q8">
        <f>MAX(L2:L46)</f>
        <v>86.313382508160345</v>
      </c>
      <c r="R8">
        <f t="shared" si="0"/>
        <v>43.156691254080172</v>
      </c>
      <c r="S8">
        <f>COUNTIFS(K2:K46,"&lt;0,5",L2:L46,"&lt;="&amp;R8)</f>
        <v>13</v>
      </c>
      <c r="T8">
        <f>COUNTIFS(K2:K46,"&lt;0,5",L2:L46,"&gt;"&amp;R8)</f>
        <v>20</v>
      </c>
      <c r="U8">
        <f>COUNTIFS(K2:K46,"&gt;=0,5",L2:L46,"&gt;"&amp;R8)</f>
        <v>0</v>
      </c>
      <c r="V8">
        <f>COUNTIFS(K2:K46,"&gt;=0,5",L2:L46,"&lt;="&amp;R8)</f>
        <v>12</v>
      </c>
    </row>
    <row r="9" spans="1:24">
      <c r="A9" t="s">
        <v>27</v>
      </c>
      <c r="B9">
        <v>6.4516129032258063E-2</v>
      </c>
      <c r="C9" s="1">
        <v>15.50806241927082</v>
      </c>
      <c r="E9">
        <v>6.4516129032258063E-2</v>
      </c>
      <c r="F9" s="1">
        <v>15.50806241927082</v>
      </c>
      <c r="H9">
        <v>0.66666666666666663</v>
      </c>
      <c r="I9">
        <v>3.5355339059327382</v>
      </c>
      <c r="K9">
        <v>0.76923076923076927</v>
      </c>
      <c r="L9">
        <v>4.2426406871192848</v>
      </c>
    </row>
    <row r="10" spans="1:24">
      <c r="A10" t="s">
        <v>28</v>
      </c>
      <c r="B10">
        <v>5.8252427184466021E-2</v>
      </c>
      <c r="C10" s="1">
        <v>61.923339703216911</v>
      </c>
      <c r="E10">
        <v>0</v>
      </c>
      <c r="F10" s="1">
        <v>73.878278269055514</v>
      </c>
      <c r="H10">
        <v>0.1981981981981982</v>
      </c>
      <c r="I10">
        <v>56.307193146169169</v>
      </c>
      <c r="K10">
        <v>0.1679389312977099</v>
      </c>
      <c r="L10">
        <v>64.501937955382388</v>
      </c>
    </row>
    <row r="11" spans="1:24">
      <c r="A11" t="s">
        <v>29</v>
      </c>
      <c r="B11">
        <v>9.5238095238095233E-2</v>
      </c>
      <c r="C11" s="1">
        <v>9.5131487952202232</v>
      </c>
      <c r="E11">
        <v>0.16666666666666671</v>
      </c>
      <c r="F11" s="1">
        <v>6.4031242374328494</v>
      </c>
      <c r="H11">
        <v>0.25974025974025972</v>
      </c>
      <c r="I11">
        <v>31.53569406244296</v>
      </c>
      <c r="K11">
        <v>0.16666666666666671</v>
      </c>
      <c r="L11">
        <v>6.4031242374328494</v>
      </c>
    </row>
    <row r="12" spans="1:24" ht="43.2">
      <c r="A12" t="s">
        <v>30</v>
      </c>
      <c r="B12">
        <v>0.33333333333333331</v>
      </c>
      <c r="C12" s="1">
        <v>4.1231056256176606</v>
      </c>
      <c r="E12">
        <v>0</v>
      </c>
      <c r="F12" s="1">
        <v>11.704699910719629</v>
      </c>
      <c r="H12">
        <v>0.95238095238095233</v>
      </c>
      <c r="I12">
        <v>0.70710678118654757</v>
      </c>
      <c r="K12">
        <v>0.32786885245901642</v>
      </c>
      <c r="L12">
        <v>28.293108701590221</v>
      </c>
      <c r="Q12" s="5"/>
      <c r="R12" s="13" t="s">
        <v>8</v>
      </c>
      <c r="S12" s="11" t="s">
        <v>15</v>
      </c>
      <c r="T12" s="11" t="s">
        <v>16</v>
      </c>
      <c r="U12" s="11" t="s">
        <v>17</v>
      </c>
      <c r="V12" s="12" t="s">
        <v>18</v>
      </c>
    </row>
    <row r="13" spans="1:24">
      <c r="A13" t="s">
        <v>31</v>
      </c>
      <c r="B13">
        <v>0.95238095238095233</v>
      </c>
      <c r="C13" s="1">
        <v>0.70710678118654757</v>
      </c>
      <c r="E13">
        <v>0.64516129032258063</v>
      </c>
      <c r="F13" s="1">
        <v>7.1063352017759476</v>
      </c>
      <c r="H13">
        <v>0.36734693877551022</v>
      </c>
      <c r="I13">
        <v>21.22498527679112</v>
      </c>
      <c r="K13">
        <v>0.32786885245901642</v>
      </c>
      <c r="L13">
        <v>22.59424705539001</v>
      </c>
      <c r="Q13" s="7"/>
      <c r="R13" s="14" t="s">
        <v>9</v>
      </c>
      <c r="S13" s="6">
        <f>S5/45</f>
        <v>0.48888888888888887</v>
      </c>
      <c r="T13" s="6">
        <f>T5/45</f>
        <v>0.37777777777777777</v>
      </c>
      <c r="U13" s="6">
        <f>U5/45</f>
        <v>0</v>
      </c>
      <c r="V13" s="9">
        <f>V5/45</f>
        <v>0.13333333333333333</v>
      </c>
    </row>
    <row r="14" spans="1:24">
      <c r="A14" t="s">
        <v>32</v>
      </c>
      <c r="B14">
        <v>0.31818181818181818</v>
      </c>
      <c r="C14" s="1">
        <v>57.008771254956898</v>
      </c>
      <c r="E14">
        <v>0.1951219512195122</v>
      </c>
      <c r="F14" s="1">
        <v>55.682133579811747</v>
      </c>
      <c r="H14">
        <v>0.53947368421052633</v>
      </c>
      <c r="I14">
        <v>43.011626335213137</v>
      </c>
      <c r="K14">
        <v>0.62962962962962965</v>
      </c>
      <c r="L14">
        <v>42.426406871192853</v>
      </c>
      <c r="Q14" s="7"/>
      <c r="R14" s="14" t="s">
        <v>10</v>
      </c>
      <c r="S14" s="6">
        <f t="shared" ref="S14:V16" si="1">S6/45</f>
        <v>0.4</v>
      </c>
      <c r="T14" s="6">
        <f t="shared" si="1"/>
        <v>0.42222222222222222</v>
      </c>
      <c r="U14" s="6">
        <f t="shared" si="1"/>
        <v>4.4444444444444446E-2</v>
      </c>
      <c r="V14" s="9">
        <f t="shared" si="1"/>
        <v>0.13333333333333333</v>
      </c>
    </row>
    <row r="15" spans="1:24">
      <c r="A15" t="s">
        <v>33</v>
      </c>
      <c r="B15">
        <v>0.26839826839826841</v>
      </c>
      <c r="C15" s="1">
        <v>95.501308891553947</v>
      </c>
      <c r="E15">
        <v>4.878048780487805E-2</v>
      </c>
      <c r="F15" s="1">
        <v>104.4629120788809</v>
      </c>
      <c r="H15">
        <v>0.58657243816254412</v>
      </c>
      <c r="I15">
        <v>58.502136713115007</v>
      </c>
      <c r="K15">
        <v>0.2608695652173913</v>
      </c>
      <c r="L15">
        <v>86.313382508160345</v>
      </c>
      <c r="Q15" s="7"/>
      <c r="R15" s="14" t="s">
        <v>65</v>
      </c>
      <c r="S15" s="6">
        <f t="shared" si="1"/>
        <v>0.24444444444444444</v>
      </c>
      <c r="T15" s="6">
        <f t="shared" si="1"/>
        <v>0.46666666666666667</v>
      </c>
      <c r="U15" s="6">
        <f t="shared" si="1"/>
        <v>8.8888888888888892E-2</v>
      </c>
      <c r="V15" s="9">
        <f t="shared" si="1"/>
        <v>0.28888888888888886</v>
      </c>
    </row>
    <row r="16" spans="1:24">
      <c r="A16" t="s">
        <v>34</v>
      </c>
      <c r="B16">
        <v>3.9215686274509803E-2</v>
      </c>
      <c r="C16" s="1">
        <v>50.960769224963627</v>
      </c>
      <c r="E16">
        <v>0</v>
      </c>
      <c r="F16" s="1">
        <v>84.628600366542756</v>
      </c>
      <c r="H16">
        <v>0.77011494252873558</v>
      </c>
      <c r="I16">
        <v>23.85372088375313</v>
      </c>
      <c r="K16">
        <v>0.47328244274809161</v>
      </c>
      <c r="L16">
        <v>37.423254802328458</v>
      </c>
      <c r="Q16" s="7"/>
      <c r="R16" s="15" t="s">
        <v>12</v>
      </c>
      <c r="S16" s="8">
        <f t="shared" si="1"/>
        <v>0.28888888888888886</v>
      </c>
      <c r="T16" s="8">
        <f t="shared" si="1"/>
        <v>0.44444444444444442</v>
      </c>
      <c r="U16" s="8">
        <f t="shared" si="1"/>
        <v>0</v>
      </c>
      <c r="V16" s="10">
        <f t="shared" si="1"/>
        <v>0.26666666666666666</v>
      </c>
    </row>
    <row r="17" spans="1:12">
      <c r="A17" t="s">
        <v>35</v>
      </c>
      <c r="B17">
        <v>0.25862068965517238</v>
      </c>
      <c r="C17" s="1">
        <v>60.108235708594883</v>
      </c>
      <c r="E17">
        <v>5.8252427184466021E-2</v>
      </c>
      <c r="F17" s="1">
        <v>63.831810251629243</v>
      </c>
      <c r="H17">
        <v>0.52023121387283233</v>
      </c>
      <c r="I17">
        <v>43.640577448058593</v>
      </c>
      <c r="K17">
        <v>0.15267175572519079</v>
      </c>
      <c r="L17">
        <v>65.349062732375899</v>
      </c>
    </row>
    <row r="18" spans="1:12">
      <c r="A18" t="s">
        <v>36</v>
      </c>
      <c r="B18">
        <v>1.9801980198019799E-2</v>
      </c>
      <c r="C18" s="1">
        <v>50.601383380298998</v>
      </c>
      <c r="E18">
        <v>0.34710743801652888</v>
      </c>
      <c r="F18" s="1">
        <v>44.502808900113259</v>
      </c>
      <c r="H18">
        <v>0.13084112149532709</v>
      </c>
      <c r="I18">
        <v>48.42003717470692</v>
      </c>
      <c r="K18">
        <v>0.66225165562913912</v>
      </c>
      <c r="L18">
        <v>35.362409420173847</v>
      </c>
    </row>
    <row r="19" spans="1:12">
      <c r="A19" t="s">
        <v>37</v>
      </c>
      <c r="B19">
        <v>0.1981981981981982</v>
      </c>
      <c r="C19" s="1">
        <v>62.932503525602733</v>
      </c>
      <c r="E19">
        <v>0</v>
      </c>
      <c r="F19" s="1">
        <v>100</v>
      </c>
      <c r="H19">
        <v>0.2978723404255319</v>
      </c>
      <c r="I19">
        <v>57.623779813545717</v>
      </c>
      <c r="K19">
        <v>0.1132075471698113</v>
      </c>
      <c r="L19">
        <v>56.859475903318</v>
      </c>
    </row>
    <row r="20" spans="1:12">
      <c r="A20" t="s">
        <v>38</v>
      </c>
      <c r="B20">
        <v>0</v>
      </c>
      <c r="C20" s="1">
        <v>70.71421356417676</v>
      </c>
      <c r="E20">
        <v>0.34710743801652888</v>
      </c>
      <c r="F20" s="1">
        <v>49.904909578116659</v>
      </c>
      <c r="H20">
        <v>0</v>
      </c>
      <c r="I20">
        <v>70.71421356417676</v>
      </c>
      <c r="K20">
        <v>0.44117647058823528</v>
      </c>
      <c r="L20">
        <v>49.678969393496892</v>
      </c>
    </row>
    <row r="21" spans="1:12">
      <c r="A21" t="s">
        <v>39</v>
      </c>
      <c r="B21">
        <v>3.9215686274509803E-2</v>
      </c>
      <c r="C21" s="1">
        <v>49.254441424099006</v>
      </c>
      <c r="E21">
        <v>0.66666666666666663</v>
      </c>
      <c r="F21" s="1">
        <v>70.710678118654755</v>
      </c>
      <c r="H21">
        <v>3.9215686274509803E-2</v>
      </c>
      <c r="I21">
        <v>49.254441424099006</v>
      </c>
      <c r="K21">
        <v>0.75776397515527949</v>
      </c>
      <c r="L21">
        <v>21.691011963483859</v>
      </c>
    </row>
    <row r="22" spans="1:12">
      <c r="A22" t="s">
        <v>40</v>
      </c>
      <c r="B22">
        <v>0.27586206896551718</v>
      </c>
      <c r="C22" s="1">
        <v>44.944410108488462</v>
      </c>
      <c r="E22">
        <v>0.23008849557522121</v>
      </c>
      <c r="F22" s="1">
        <v>46.524187257812471</v>
      </c>
      <c r="H22">
        <v>0.66225165562913912</v>
      </c>
      <c r="I22">
        <v>35.362409420173847</v>
      </c>
      <c r="K22">
        <v>0.52941176470588236</v>
      </c>
      <c r="L22">
        <v>36.715119501371639</v>
      </c>
    </row>
    <row r="23" spans="1:12">
      <c r="A23" t="s">
        <v>41</v>
      </c>
      <c r="B23">
        <v>0.47328244274809161</v>
      </c>
      <c r="C23" s="1">
        <v>48.790367901871782</v>
      </c>
      <c r="E23">
        <v>0.66666666666666663</v>
      </c>
      <c r="F23" s="1">
        <v>70.710678118654755</v>
      </c>
      <c r="H23">
        <v>0.82987551867219922</v>
      </c>
      <c r="I23">
        <v>28.991378028648452</v>
      </c>
      <c r="K23">
        <v>0.66225165562913912</v>
      </c>
      <c r="L23">
        <v>35.362409420173847</v>
      </c>
    </row>
    <row r="24" spans="1:12">
      <c r="A24" t="s">
        <v>42</v>
      </c>
      <c r="B24">
        <v>0.36065573770491799</v>
      </c>
      <c r="C24" s="1">
        <v>46.324939287601879</v>
      </c>
      <c r="E24">
        <v>0.15267175572519079</v>
      </c>
      <c r="F24" s="1">
        <v>65.349062732375899</v>
      </c>
      <c r="H24">
        <v>0.2479338842975207</v>
      </c>
      <c r="I24">
        <v>60.25363059600641</v>
      </c>
      <c r="K24">
        <v>0.66225165562913912</v>
      </c>
      <c r="L24">
        <v>35.362409420173847</v>
      </c>
    </row>
    <row r="25" spans="1:12">
      <c r="A25" t="s">
        <v>43</v>
      </c>
      <c r="B25">
        <v>0.38709677419354838</v>
      </c>
      <c r="C25" s="1">
        <v>43.416586692184822</v>
      </c>
      <c r="E25">
        <v>0.13084112149532709</v>
      </c>
      <c r="F25" s="1">
        <v>54.538976888093529</v>
      </c>
      <c r="H25">
        <v>0.85057471264367812</v>
      </c>
      <c r="I25">
        <v>13.60147050873544</v>
      </c>
      <c r="K25">
        <v>0.13084112149532709</v>
      </c>
      <c r="L25">
        <v>54.538976888093529</v>
      </c>
    </row>
    <row r="26" spans="1:12">
      <c r="A26" t="s">
        <v>44</v>
      </c>
      <c r="B26">
        <v>0.1981981981981982</v>
      </c>
      <c r="C26" s="1">
        <v>56.925389765903233</v>
      </c>
      <c r="E26">
        <v>0.46153846153846162</v>
      </c>
      <c r="F26" s="1">
        <v>43.011626335213137</v>
      </c>
      <c r="H26">
        <v>0.24806201550387599</v>
      </c>
      <c r="I26">
        <v>60.104076400856542</v>
      </c>
      <c r="K26">
        <v>0.3968253968253968</v>
      </c>
      <c r="L26">
        <v>53.037722424704477</v>
      </c>
    </row>
    <row r="27" spans="1:12">
      <c r="A27" t="s">
        <v>45</v>
      </c>
      <c r="B27">
        <v>0.1981981981981982</v>
      </c>
      <c r="C27" s="1">
        <v>56.925389765903233</v>
      </c>
      <c r="E27">
        <v>0.33333333333333331</v>
      </c>
      <c r="F27" s="1">
        <v>82.462112512353215</v>
      </c>
      <c r="H27">
        <v>0.22807017543859651</v>
      </c>
      <c r="I27">
        <v>61.522353661088097</v>
      </c>
      <c r="K27">
        <v>0.34710743801652888</v>
      </c>
      <c r="L27">
        <v>49.904909578116659</v>
      </c>
    </row>
    <row r="28" spans="1:12">
      <c r="A28" t="s">
        <v>46</v>
      </c>
      <c r="B28">
        <v>0</v>
      </c>
      <c r="C28" s="1">
        <v>44.32268042436062</v>
      </c>
      <c r="E28">
        <v>0.57971014492753625</v>
      </c>
      <c r="F28" s="1">
        <v>14.9164338901763</v>
      </c>
      <c r="H28">
        <v>0</v>
      </c>
      <c r="I28">
        <v>60.530983801686233</v>
      </c>
      <c r="K28">
        <v>0</v>
      </c>
      <c r="L28">
        <v>28.63564212655271</v>
      </c>
    </row>
    <row r="29" spans="1:12">
      <c r="A29" t="s">
        <v>47</v>
      </c>
      <c r="B29">
        <v>0.34710743801652888</v>
      </c>
      <c r="C29" s="1">
        <v>40.871750635371612</v>
      </c>
      <c r="E29">
        <v>0.49689440993788819</v>
      </c>
      <c r="F29" s="1">
        <v>44.949972191315091</v>
      </c>
      <c r="H29">
        <v>0.58156028368794321</v>
      </c>
      <c r="I29">
        <v>35.923529893372113</v>
      </c>
      <c r="K29">
        <v>0.67549668874172186</v>
      </c>
      <c r="L29">
        <v>34.648232278140831</v>
      </c>
    </row>
    <row r="30" spans="1:12">
      <c r="A30" t="s">
        <v>48</v>
      </c>
      <c r="B30">
        <v>0.30508474576271188</v>
      </c>
      <c r="C30" s="1">
        <v>56.586217403180427</v>
      </c>
      <c r="E30">
        <v>0.33057851239669422</v>
      </c>
      <c r="F30" s="1">
        <v>56.572961739686207</v>
      </c>
      <c r="H30">
        <v>0.33057851239669422</v>
      </c>
      <c r="I30">
        <v>56.572961739686207</v>
      </c>
      <c r="K30">
        <v>0.27586206896551718</v>
      </c>
      <c r="L30">
        <v>50.47771785649585</v>
      </c>
    </row>
    <row r="31" spans="1:12">
      <c r="A31" t="s">
        <v>49</v>
      </c>
      <c r="B31">
        <v>1.9801980198019799E-2</v>
      </c>
      <c r="C31" s="1">
        <v>52.8441103624614</v>
      </c>
      <c r="E31">
        <v>5.8252427184466021E-2</v>
      </c>
      <c r="F31" s="1">
        <v>52.273320154740503</v>
      </c>
      <c r="H31">
        <v>1.9801980198019799E-2</v>
      </c>
      <c r="I31">
        <v>52.8441103624614</v>
      </c>
      <c r="K31">
        <v>0.27586206896551718</v>
      </c>
      <c r="L31">
        <v>50.47771785649585</v>
      </c>
    </row>
    <row r="32" spans="1:12">
      <c r="A32" t="s">
        <v>50</v>
      </c>
      <c r="B32">
        <v>0.24561403508771931</v>
      </c>
      <c r="C32" s="1">
        <v>56.727418414731339</v>
      </c>
      <c r="E32">
        <v>0.16363636363636361</v>
      </c>
      <c r="F32" s="1">
        <v>64.350602172784676</v>
      </c>
      <c r="H32">
        <v>0.1238938053097345</v>
      </c>
      <c r="I32">
        <v>65.897647909466386</v>
      </c>
      <c r="K32">
        <v>0.1981981981981982</v>
      </c>
      <c r="L32">
        <v>56.925389765903233</v>
      </c>
    </row>
    <row r="33" spans="1:12">
      <c r="A33" t="s">
        <v>51</v>
      </c>
      <c r="B33">
        <v>0</v>
      </c>
      <c r="C33" s="1">
        <v>107.05372483010581</v>
      </c>
      <c r="E33">
        <v>0.23008849557522121</v>
      </c>
      <c r="F33" s="1">
        <v>87.965902484996988</v>
      </c>
      <c r="H33">
        <v>0.41059602649006621</v>
      </c>
      <c r="I33">
        <v>50.798622028555073</v>
      </c>
      <c r="K33">
        <v>0.99502487562189057</v>
      </c>
      <c r="L33">
        <v>0.70710678118654757</v>
      </c>
    </row>
    <row r="34" spans="1:12">
      <c r="A34" t="s">
        <v>52</v>
      </c>
      <c r="B34">
        <v>0.33057851239669422</v>
      </c>
      <c r="C34" s="1">
        <v>56.572961739686207</v>
      </c>
      <c r="E34">
        <v>7.6335877862595422E-2</v>
      </c>
      <c r="F34" s="1">
        <v>69.645531084198069</v>
      </c>
      <c r="H34">
        <v>0.1801801801801802</v>
      </c>
      <c r="I34">
        <v>63.643538556557331</v>
      </c>
      <c r="K34">
        <v>0.58156028368794321</v>
      </c>
      <c r="L34">
        <v>35.923529893372113</v>
      </c>
    </row>
    <row r="35" spans="1:12">
      <c r="A35" t="s">
        <v>53</v>
      </c>
      <c r="B35">
        <v>0.13084112149532709</v>
      </c>
      <c r="C35" s="1">
        <v>62.325757115337147</v>
      </c>
      <c r="E35">
        <v>0.99502487562189057</v>
      </c>
      <c r="F35" s="1">
        <v>0.70710678118654757</v>
      </c>
      <c r="H35">
        <v>0.2105263157894737</v>
      </c>
      <c r="I35">
        <v>62.241465278381739</v>
      </c>
      <c r="K35">
        <v>0.30508474576271188</v>
      </c>
      <c r="L35">
        <v>56.586217403180427</v>
      </c>
    </row>
    <row r="36" spans="1:12">
      <c r="A36" t="s">
        <v>54</v>
      </c>
      <c r="B36">
        <v>7.6923076923076927E-2</v>
      </c>
      <c r="C36" s="1">
        <v>50.921508225896062</v>
      </c>
      <c r="E36">
        <v>3.9215686274509803E-2</v>
      </c>
      <c r="F36" s="1">
        <v>50.695167422546312</v>
      </c>
      <c r="H36">
        <v>5.8252427184466021E-2</v>
      </c>
      <c r="I36">
        <v>52.273320154740503</v>
      </c>
      <c r="K36">
        <v>0.47328244274809161</v>
      </c>
      <c r="L36">
        <v>37.821951298154893</v>
      </c>
    </row>
    <row r="37" spans="1:12">
      <c r="A37" t="s">
        <v>55</v>
      </c>
      <c r="B37">
        <v>0.30534351145038169</v>
      </c>
      <c r="C37" s="1">
        <v>57.10078808562978</v>
      </c>
      <c r="E37">
        <v>0.33057851239669422</v>
      </c>
      <c r="F37" s="1">
        <v>56.572961739686207</v>
      </c>
      <c r="H37">
        <v>0.36046511627906969</v>
      </c>
      <c r="I37">
        <v>56.753854494650852</v>
      </c>
      <c r="K37">
        <v>0</v>
      </c>
      <c r="L37">
        <v>73.061617830431317</v>
      </c>
    </row>
    <row r="38" spans="1:12">
      <c r="A38" t="s">
        <v>56</v>
      </c>
      <c r="B38">
        <v>0.1132075471698113</v>
      </c>
      <c r="C38" s="1">
        <v>57.428216061444921</v>
      </c>
      <c r="E38">
        <v>0.16528925619834711</v>
      </c>
      <c r="F38" s="1">
        <v>64.113181172049167</v>
      </c>
      <c r="H38">
        <v>1.9801980198019799E-2</v>
      </c>
      <c r="I38">
        <v>60.336556083356299</v>
      </c>
      <c r="K38">
        <v>0.44117647058823528</v>
      </c>
      <c r="L38">
        <v>49.678969393496892</v>
      </c>
    </row>
    <row r="39" spans="1:12">
      <c r="A39" t="s">
        <v>57</v>
      </c>
      <c r="B39">
        <v>0.86486486486486491</v>
      </c>
      <c r="C39" s="1">
        <v>3.5355339059327382</v>
      </c>
      <c r="E39">
        <v>0.25</v>
      </c>
      <c r="F39" s="1">
        <v>10.295630140987001</v>
      </c>
      <c r="H39">
        <v>0.66666666666666663</v>
      </c>
      <c r="I39">
        <v>9.6176920308356717</v>
      </c>
      <c r="K39">
        <v>0.5</v>
      </c>
      <c r="L39">
        <v>7.6157731058639087</v>
      </c>
    </row>
    <row r="40" spans="1:12">
      <c r="A40" t="s">
        <v>58</v>
      </c>
      <c r="B40">
        <v>0.64864864864864868</v>
      </c>
      <c r="C40" s="1">
        <v>30.016662039607269</v>
      </c>
      <c r="E40">
        <v>0</v>
      </c>
      <c r="F40" s="1">
        <v>100</v>
      </c>
      <c r="H40">
        <v>0.64864864864864868</v>
      </c>
      <c r="I40">
        <v>30.016662039607269</v>
      </c>
      <c r="K40">
        <v>0</v>
      </c>
      <c r="L40">
        <v>73.061617830431317</v>
      </c>
    </row>
    <row r="41" spans="1:12">
      <c r="A41" t="s">
        <v>59</v>
      </c>
      <c r="B41">
        <v>5.8252427184466021E-2</v>
      </c>
      <c r="C41" s="1">
        <v>50.084927872564613</v>
      </c>
      <c r="E41">
        <v>0.1981981981981982</v>
      </c>
      <c r="F41" s="1">
        <v>46.802777695346244</v>
      </c>
      <c r="H41">
        <v>0.32635983263598328</v>
      </c>
      <c r="I41">
        <v>82.828135316449078</v>
      </c>
      <c r="K41">
        <v>0.1132075471698113</v>
      </c>
      <c r="L41">
        <v>48.507731342539607</v>
      </c>
    </row>
    <row r="42" spans="1:12">
      <c r="A42" t="s">
        <v>60</v>
      </c>
      <c r="B42">
        <v>0.10344827586206901</v>
      </c>
      <c r="C42" s="1">
        <v>66.843099868273612</v>
      </c>
      <c r="E42">
        <v>0</v>
      </c>
      <c r="F42" s="1">
        <v>77.398320395212707</v>
      </c>
      <c r="H42">
        <v>0.1081081081081081</v>
      </c>
      <c r="I42">
        <v>66.562001171839782</v>
      </c>
      <c r="K42">
        <v>0</v>
      </c>
      <c r="L42">
        <v>75.355822601840131</v>
      </c>
    </row>
    <row r="43" spans="1:12">
      <c r="A43" t="s">
        <v>61</v>
      </c>
      <c r="B43">
        <v>0.1132075471698113</v>
      </c>
      <c r="C43" s="1">
        <v>47.095647357266458</v>
      </c>
      <c r="E43">
        <v>0.75</v>
      </c>
      <c r="F43" s="1">
        <v>28.284271247461898</v>
      </c>
      <c r="H43">
        <v>0.85057471264367812</v>
      </c>
      <c r="I43">
        <v>16.40121946685673</v>
      </c>
      <c r="K43">
        <v>0.47328244274809161</v>
      </c>
      <c r="L43">
        <v>37.423254802328458</v>
      </c>
    </row>
    <row r="44" spans="1:12">
      <c r="A44" t="s">
        <v>62</v>
      </c>
      <c r="B44">
        <v>0.2142857142857143</v>
      </c>
      <c r="C44" s="1">
        <v>46.486557196677843</v>
      </c>
      <c r="E44">
        <v>0.75</v>
      </c>
      <c r="F44" s="1">
        <v>28.284271247461898</v>
      </c>
      <c r="H44">
        <v>0.44961240310077522</v>
      </c>
      <c r="I44">
        <v>36.090164865237178</v>
      </c>
      <c r="K44">
        <v>0.32061068702290069</v>
      </c>
      <c r="L44">
        <v>56.307193146169169</v>
      </c>
    </row>
    <row r="45" spans="1:12">
      <c r="A45" t="s">
        <v>63</v>
      </c>
      <c r="B45">
        <v>0</v>
      </c>
      <c r="C45" s="1">
        <v>0</v>
      </c>
      <c r="E45">
        <v>0.13084112149532709</v>
      </c>
      <c r="F45" s="1">
        <v>48.42003717470692</v>
      </c>
      <c r="H45">
        <v>0</v>
      </c>
      <c r="I45">
        <v>0</v>
      </c>
      <c r="K45">
        <v>3.9215686274509803E-2</v>
      </c>
      <c r="L45">
        <v>51.86520991955976</v>
      </c>
    </row>
    <row r="46" spans="1:12">
      <c r="A46" t="s">
        <v>64</v>
      </c>
      <c r="B46">
        <v>0</v>
      </c>
      <c r="C46" s="1">
        <v>83.429611050273991</v>
      </c>
      <c r="E46">
        <v>0.42519685039370081</v>
      </c>
      <c r="F46" s="1">
        <v>36.776351096866577</v>
      </c>
      <c r="H46">
        <v>0.717741935483871</v>
      </c>
      <c r="I46">
        <v>42.43819034784589</v>
      </c>
      <c r="K46">
        <v>0</v>
      </c>
      <c r="L46">
        <v>76.53757247260981</v>
      </c>
    </row>
  </sheetData>
  <conditionalFormatting sqref="S13:V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Blad5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Fereshta Westin</dc:creator>
  <cp:lastModifiedBy>Fereshta Westin</cp:lastModifiedBy>
  <dcterms:created xsi:type="dcterms:W3CDTF">2015-06-05T18:19:34Z</dcterms:created>
  <dcterms:modified xsi:type="dcterms:W3CDTF">2026-05-05T12:58:12Z</dcterms:modified>
</cp:coreProperties>
</file>